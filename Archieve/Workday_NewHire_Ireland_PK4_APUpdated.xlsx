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updateLinks="never" codeName="ThisWorkbook" defaultThemeVersion="124226"/>
  <mc:AlternateContent xmlns:mc="http://schemas.openxmlformats.org/markup-compatibility/2006">
    <mc:Choice Requires="x15">
      <x15ac:absPath xmlns:x15ac="http://schemas.microsoft.com/office/spreadsheetml/2010/11/ac" url="H:\WorkdaySuite_Playwright_GP_Ireland\Data\"/>
    </mc:Choice>
  </mc:AlternateContent>
  <xr:revisionPtr revIDLastSave="0" documentId="13_ncr:1_{E666D7F4-090D-4451-86A3-242D32DF2EEC}"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2" sheetId="50" r:id="rId9"/>
    <sheet name="Sheet1" sheetId="45" state="hidden" r:id="rId10"/>
  </sheets>
  <definedNames>
    <definedName name="_xlnm._FilterDatabase" localSheetId="7" hidden="1">Test_Data!$A$14:$K$14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Test_Data!$E$72</definedName>
    <definedName name="AssignPayGroup_ProposedPayGroup">Automation_Lookups!$T$2:$T$20</definedName>
    <definedName name="AssignPayGroup_ProposedPayGroup2" localSheetId="7">Test_Data!$F$72</definedName>
    <definedName name="AssignPayGroup_ProposedPayGroup2">Automation_Lookups!$T$2</definedName>
    <definedName name="AssignPayGroup_ProposedPayGroupFinal">Test_Data!$E$72</definedName>
    <definedName name="AssignPayGroup_ProposedPayGroupInitial">Test_Data!$E$72</definedName>
    <definedName name="Automation_Ref">Test_Data!$G$14:$J$14</definedName>
    <definedName name="AutomationComments">Test_Data!$E$11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Test_Data!$E$57</definedName>
    <definedName name="ChangeMyGovernmentIDs_NationalIDs_AddEditID12">Test_Data!$F$57</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Test_Data!$E$53</definedName>
    <definedName name="ChangeMyGovernmentIDs_NationalIDs_Country12">Test_Data!$F$53</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Test_Data!$E$56</definedName>
    <definedName name="ChangeMyGovernmentIDs_NationalIDs_NationalIDType12" localSheetId="7">Test_Data!$F$56</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CitizenshipStatus">Test_Data!$E$65</definedName>
    <definedName name="ChangeMyPersonalInformation_CityOfBirth">Test_Data!$E$62</definedName>
    <definedName name="ChangeMyPersonalInformation_CityOfBirth2">Test_Data!$F$62</definedName>
    <definedName name="ChangeMyPersonalInformation_CountryOfBirth">Test_Data!$E$60</definedName>
    <definedName name="ChangeMyPersonalInformation_CountryTerritoryOfBirth">Test_Data!#REF!</definedName>
    <definedName name="ChangeMyPersonalInformation_CountryTerritoryOfBirth2">Test_Data!#REF!</definedName>
    <definedName name="ChangeMyPersonalInformation_DateOfBirth">Test_Data!$E$59</definedName>
    <definedName name="ChangeMyPersonalInformation_DateOfBirth2">Test_Data!$F$59</definedName>
    <definedName name="ChangeMyPersonalInformation_Gender">Test_Data!$E$58</definedName>
    <definedName name="ChangeMyPersonalInformation_Gender2">Test_Data!$F$58</definedName>
    <definedName name="ChangeMyPersonalInformation_MaritalStatus">Test_Data!$E$63</definedName>
    <definedName name="ChangeMyPersonalInformation_MaritalStatus2" localSheetId="7">Test_Data!$F$63</definedName>
    <definedName name="ChangeMyPersonalInformation_MaritalStatus2">Automation_Lookups!$AH$2:$AH$4</definedName>
    <definedName name="ChangeMyPersonalInformation_MaritalStatusDate">Test_Data!$E$64</definedName>
    <definedName name="ChangeMyPersonalInformation_MaritalStatusDate2">Test_Data!$F$64</definedName>
    <definedName name="ChangeMyPersonalInformation_PrimaryNationality">Test_Data!$E$66</definedName>
    <definedName name="ChangeMyPersonalInformation_PrimaryNationality2">Test_Data!$F$66</definedName>
    <definedName name="ChangeMyPersonalInformation_RaceEthnicity">Test_Data!$E$65</definedName>
    <definedName name="ChangeMyPersonalInformation_RegionOfBirth">Test_Data!$E$61</definedName>
    <definedName name="ChangeMyPersonalInformation_RegionOfBirth2">Test_Data!#REF!</definedName>
    <definedName name="ChangeOrganizationAssignments_CostCenter">Test_Data!$E$51</definedName>
    <definedName name="ChangeOrganizationAssignments_CostCenter2">Test_Data!$F$51</definedName>
    <definedName name="ChangeOrganizationAssignments_DepartmentSection">Test_Data!$E$52</definedName>
    <definedName name="ChangeOrganizationAssignments_DepartmentSection2" localSheetId="7">Test_Data!$F$52</definedName>
    <definedName name="ChangeOrganizationAssignments_DepartmentSection2">Automation_Lookups!$S$2</definedName>
    <definedName name="ChangeOrganizationAssignments_Other_Organizations" localSheetId="7">Test_Data!$E$52</definedName>
    <definedName name="ChangeOrganizationAssignments_Other_Organizations">Automation_Lookups!$S$2:$S$20</definedName>
    <definedName name="ChangeOrganizationAssignments_Other_Organizations2">Automation_Lookups!$S$2</definedName>
    <definedName name="ContactInformation_Address_AdressLine1">Test_Data!$E$28</definedName>
    <definedName name="ContactInformation_Address_AdressLine2">Test_Data!$E$29</definedName>
    <definedName name="ContactInformation_Address_AdressLine3">Test_Data!$E$30</definedName>
    <definedName name="ContactInformation_Address_City">Test_Data!$E$32</definedName>
    <definedName name="ContactInformation_Address_City2">Test_Data!$F$32</definedName>
    <definedName name="ContactInformation_Address_Country">Test_Data!$E$26</definedName>
    <definedName name="ContactInformation_Address_Country2">Test_Data!$F$26</definedName>
    <definedName name="ContactInformation_Address_County">Test_Data!$E$27</definedName>
    <definedName name="ContactInformation_Address_EffectiveDate">Test_Data!$E$25</definedName>
    <definedName name="ContactInformation_Address_EffectiveDate2">Test_Data!$F$25</definedName>
    <definedName name="ContactInformation_Address_HouseNumber">Test_Data!$E$29</definedName>
    <definedName name="ContactInformation_Address_HouseNumber2">Test_Data!$F$29</definedName>
    <definedName name="ContactInformation_Address_PostalCode">Test_Data!$E$31</definedName>
    <definedName name="ContactInformation_Address_PostalCode2">Test_Data!$F$31</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StreetName">Test_Data!$E$28</definedName>
    <definedName name="ContactInformation_Address_Type" localSheetId="7">Test_Data!$E$33</definedName>
    <definedName name="ContactInformation_Address_Type">Automation_Lookups!$H$2:$H$20</definedName>
    <definedName name="ContactInformation_Address_Type2" localSheetId="7">Test_Data!$F$33</definedName>
    <definedName name="ContactInformation_Address_Type2">Automation_Lookups!$H$2:$H$3</definedName>
    <definedName name="ContactInformation_Address_UseFor">Test_Data!$E$34</definedName>
    <definedName name="ContactInformation_Address_UseFor2">Test_Data!$F$34</definedName>
    <definedName name="ContactInformation_Email_EmailAddress">Test_Data!$E$35</definedName>
    <definedName name="ContactInformation_Email_EmailAddress2">Test_Data!$F$35</definedName>
    <definedName name="ContactInformation_Email_Type" localSheetId="7">Test_Data!$E$36</definedName>
    <definedName name="ContactInformation_Email_Type">Automation_Lookups!$I$2:$I$20</definedName>
    <definedName name="ContactInformation_Email_Type2" localSheetId="7">Test_Data!$F$36</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Test_Data!$E$23</definedName>
    <definedName name="ContactInformation_Phone_PhoneDevice">Automation_Lookups!$F$2:$F$20</definedName>
    <definedName name="ContactInformation_Phone_PhoneDevice2" localSheetId="7">Test_Data!$F$23</definedName>
    <definedName name="ContactInformation_Phone_PhoneDevice2">Automation_Lookups!$F$2:$F$3</definedName>
    <definedName name="ContactInformation_Phone_PhoneNumber">Test_Data!$E$22</definedName>
    <definedName name="ContactInformation_Phone_PhoneNumber2">Test_Data!$F$22</definedName>
    <definedName name="ContactInformation_Phone_Type" localSheetId="7">Test_Data!$E$24</definedName>
    <definedName name="ContactInformation_Phone_Type">Automation_Lookups!$G$2:$G$20</definedName>
    <definedName name="ContactInformation_Phone_Type2" localSheetId="7">Test_Data!$F$24</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HRPartner_EmployeeID_1">Test_Data!#REF!</definedName>
    <definedName name="HRPartner_EmployeeID_2">Test_Data!#REF!</definedName>
    <definedName name="JobDetails_AdditionalInformation_AdditionalJobClassifications">Test_Data!$E$47</definedName>
    <definedName name="JobDetails_AdditionalInformation_AdditionalJobClassifications2">Test_Data!$F$47</definedName>
    <definedName name="JobDetails_AdditionalInformation_Comments">Test_Data!$E$50</definedName>
    <definedName name="JobDetails_AdditionalInformation_Comments2">Test_Data!$F$50</definedName>
    <definedName name="JobDetails_AdditionalInformation_EndEmploymentDate">Test_Data!$E$49</definedName>
    <definedName name="JobDetails_AdditionalInformation_EndEmploymentDate2" localSheetId="7">Test_Data!$F$49</definedName>
    <definedName name="JobDetails_AdditionalInformation_EndEmploymentDate2">Automation_Lookups!$R$2:$R$5</definedName>
    <definedName name="JobDetails_AdditionalInformation_ScheduledWeeklyHours">Test_Data!$E$46</definedName>
    <definedName name="JobDetails_AdditionalInformation_ScheduledWeeklyHours2">Test_Data!$F$46</definedName>
    <definedName name="JobDetails_AdditionalInformation_WorkShift" localSheetId="7">Test_Data!$E$48</definedName>
    <definedName name="JobDetails_AdditionalInformation_WorkShift">Automation_Lookups!$Q$2:$Q$20</definedName>
    <definedName name="JobDetails_AdditionalInformation_WorkShift2" localSheetId="7">Test_Data!$F$48</definedName>
    <definedName name="JobDetails_AdditionalInformation_WorkShift2">Automation_Lookups!$Q$2:$Q$6</definedName>
    <definedName name="JobDetails_EmployeeType" localSheetId="7">Test_Data!$E$41</definedName>
    <definedName name="JobDetails_EmployeeType">Automation_Lookups!$M$2:$M$20</definedName>
    <definedName name="JobDetails_EmployeeType2" localSheetId="7">Test_Data!$F$41</definedName>
    <definedName name="JobDetails_EmployeeType2">Automation_Lookups!$M$2:$M$5</definedName>
    <definedName name="JobDetails_HireDate">Test_Data!$E$37</definedName>
    <definedName name="JobDetails_HireDate2" localSheetId="7">Test_Data!$F$37</definedName>
    <definedName name="JobDetails_HireDate2">Automation_Lookups!$J$2:$J$4</definedName>
    <definedName name="JobDetails_JobProfile" localSheetId="7">Test_Data!$E$42</definedName>
    <definedName name="JobDetails_JobProfile">Automation_Lookups!$N$3:$N$21</definedName>
    <definedName name="JobDetails_JobProfile2" localSheetId="7">Test_Data!$F$42</definedName>
    <definedName name="JobDetails_JobProfile2">Automation_Lookups!$N$2:$N$15</definedName>
    <definedName name="JobDetails_Location">Test_Data!$E$44</definedName>
    <definedName name="JobDetails_Location2" localSheetId="7">Test_Data!$F$44</definedName>
    <definedName name="JobDetails_Location2">Automation_Lookups!$P$2:$P$3</definedName>
    <definedName name="JobDetails_PayRateType">Test_Data!$E$45</definedName>
    <definedName name="JobDetails_Position">Test_Data!$E$40</definedName>
    <definedName name="JobDetails_Position2" localSheetId="7">Test_Data!$F$40</definedName>
    <definedName name="JobDetails_Position2">Automation_Lookups!$L$2:$L$5</definedName>
    <definedName name="JobDetails_Reason" localSheetId="7">Test_Data!$E$39</definedName>
    <definedName name="JobDetails_Reason">Automation_Lookups!$K$2:$K$20</definedName>
    <definedName name="JobDetails_Reason2" localSheetId="7">Test_Data!$F$39</definedName>
    <definedName name="JobDetails_Reason2">Automation_Lookups!$K$2</definedName>
    <definedName name="JobDetails_ScheduledWeeklyHours">Test_Data!$E$46</definedName>
    <definedName name="JobDetails_TimeType" localSheetId="7">Test_Data!$E$43</definedName>
    <definedName name="JobDetails_TimeType">Automation_Lookups!$O$2:$O$20</definedName>
    <definedName name="JobDetails_TimeType2" localSheetId="7">Test_Data!$F$43</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Test_Data!$E$21</definedName>
    <definedName name="LegalNameInformation_FirstLastName">Test_Data!$E$21</definedName>
    <definedName name="LegalNameInformation_FirstLastName2">Test_Data!$F$21</definedName>
    <definedName name="LegalNameInformation_GivenName">Test_Data!$E$20</definedName>
    <definedName name="LegalNameInformation_GivenName2">Test_Data!$F$20</definedName>
    <definedName name="LegalNameInformation_Prefix">Test_Data!$E$19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Test_Data!$E$16:$E$72</definedName>
    <definedName name="MaintainEmployeeContract_ContractEndDate">Test_Data!#REF!</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Test_Data!#REF!</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Test_Data!#REF!</definedName>
    <definedName name="MaintainEmployeeContract_DateEmployerSigned">Test_Data!#REF!</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Test_Data!#REF!</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Test_Data!$E$38</definedName>
    <definedName name="Order_Buyer">Test_Data!$G$17:$J$17</definedName>
    <definedName name="Order_BuyingOfficeZone">Test_Data!$G$15:$J$15</definedName>
    <definedName name="Order_Department">Test_Data!$G$16:$J$16</definedName>
    <definedName name="Order_Vendor">Test_Data!$G$18:$J$18</definedName>
    <definedName name="PaymentElectionOption_AccountNumber">Test_Data!#REF!</definedName>
    <definedName name="PaymentElectionOption_AccountType">Test_Data!$E$71</definedName>
    <definedName name="PaymentElectionOption_BankIdentificationCode">Test_Data!$E$69</definedName>
    <definedName name="PaymentElectionOption_BankName">Test_Data!$E$68</definedName>
    <definedName name="PaymentElectionOption_IBAN">Test_Data!$E$70</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GradeProfile" localSheetId="7">Test_Data!$E$54</definedName>
    <definedName name="ProposeCompensationHire_GradeProfile">Automation_Lookups!$AQ$2:$AQ$20</definedName>
    <definedName name="ProposeCompensationHire_GradeProfile2">Automation_Lookups!$AA$2</definedName>
    <definedName name="ProposeCompensationHire_Salary">Test_Data!$E$67</definedName>
    <definedName name="ProposeCompensationHire_Salary2">Test_Data!$F$67</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Test_Data!$P$2:$P$1048576</definedName>
    <definedName name="Test_11">Test_Data!$Q$2:$Q$1048576</definedName>
    <definedName name="Test_12">Test_Data!$R$2:$R$1048576</definedName>
    <definedName name="Test_13">Test_Data!$S$2:$S$1048576</definedName>
    <definedName name="Test_14">Test_Data!$T$2:$T$1048576</definedName>
    <definedName name="Test_15">Test_Data!$U$2:$U$1048576</definedName>
    <definedName name="Test_2">Test_Data!$H$2:$H$1048576</definedName>
    <definedName name="Test_3">Test_Data!$I$2:$I$1048576</definedName>
    <definedName name="Test_4">Test_Data!$J$2:$J$1048576</definedName>
    <definedName name="Test_5">Test_Data!$K$2:$K$1048576</definedName>
    <definedName name="Test_6">Test_Data!$L$2:$L$1048576</definedName>
    <definedName name="Test_7">Test_Data!$M$2:$M$1048576</definedName>
    <definedName name="Test_8">Test_Data!$N$2:$N$1048576</definedName>
    <definedName name="Test_9">Test_Data!$O$2:$O$1048576</definedName>
    <definedName name="Test_ID">Test_Data!$E$1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50" l="1"/>
  <c r="E16" i="50"/>
  <c r="E17" i="50"/>
  <c r="E18" i="50"/>
  <c r="E19" i="50"/>
  <c r="E20" i="50"/>
  <c r="E21" i="50"/>
  <c r="E22" i="50"/>
  <c r="E23" i="50"/>
  <c r="E24" i="50"/>
  <c r="E25" i="50"/>
  <c r="E26" i="50"/>
  <c r="E27" i="50"/>
  <c r="E28" i="50"/>
  <c r="E29" i="50"/>
  <c r="E30" i="50"/>
  <c r="E31" i="50"/>
  <c r="E32" i="50"/>
  <c r="E33" i="50"/>
  <c r="E34" i="50"/>
  <c r="E35" i="50"/>
  <c r="E36" i="50"/>
  <c r="E37" i="50"/>
  <c r="E38" i="50"/>
  <c r="E39" i="50"/>
  <c r="E40" i="50"/>
  <c r="E41" i="50"/>
  <c r="E42" i="50"/>
  <c r="E43" i="50"/>
  <c r="E44" i="50"/>
  <c r="E45" i="50"/>
  <c r="E46" i="50"/>
  <c r="E47" i="50"/>
  <c r="E48" i="50"/>
  <c r="E49" i="50"/>
  <c r="E50" i="50"/>
  <c r="E51" i="50"/>
  <c r="E52" i="50"/>
  <c r="E53" i="50"/>
  <c r="E54" i="50"/>
  <c r="E55" i="50"/>
  <c r="E56" i="50"/>
  <c r="E57" i="50"/>
  <c r="E58" i="50"/>
  <c r="E59" i="50"/>
  <c r="E60" i="50"/>
  <c r="E61" i="50"/>
  <c r="E62" i="50"/>
  <c r="E63" i="50"/>
  <c r="E64" i="50"/>
  <c r="E65" i="50"/>
  <c r="E66" i="50"/>
  <c r="E67" i="50"/>
  <c r="E68" i="50"/>
  <c r="E69" i="50"/>
  <c r="E70" i="50"/>
  <c r="E71" i="50"/>
  <c r="E72" i="50"/>
  <c r="E73" i="50"/>
  <c r="E74" i="50"/>
  <c r="E75" i="50"/>
  <c r="E76" i="50"/>
  <c r="E77" i="50"/>
  <c r="E78" i="50"/>
  <c r="E79" i="50"/>
  <c r="E80" i="50"/>
  <c r="E81" i="50"/>
  <c r="E82" i="50"/>
  <c r="E83" i="50"/>
  <c r="E84" i="50"/>
  <c r="E85" i="50"/>
  <c r="E86" i="50"/>
  <c r="E87" i="50"/>
  <c r="E88" i="50"/>
  <c r="E89" i="50"/>
  <c r="E90" i="50"/>
  <c r="E91" i="50"/>
  <c r="E92" i="50"/>
  <c r="E93" i="50"/>
  <c r="E94" i="50"/>
  <c r="E95" i="50"/>
  <c r="E96" i="50"/>
  <c r="E97" i="50"/>
  <c r="E98" i="50"/>
  <c r="E99" i="50"/>
  <c r="E100" i="50"/>
  <c r="E101" i="50"/>
  <c r="E102" i="50"/>
  <c r="E103" i="50"/>
  <c r="E104" i="50"/>
  <c r="E105" i="50"/>
  <c r="E106" i="50"/>
  <c r="E107" i="50"/>
  <c r="E108" i="50"/>
  <c r="E109" i="50"/>
  <c r="E110" i="50"/>
  <c r="E111" i="50"/>
  <c r="E112" i="50"/>
  <c r="E113" i="50"/>
  <c r="E114" i="50"/>
  <c r="E115" i="50"/>
  <c r="E116" i="50"/>
  <c r="E117" i="50"/>
  <c r="E118" i="50"/>
  <c r="E119" i="50"/>
  <c r="E120" i="50"/>
  <c r="E121" i="50"/>
  <c r="E122" i="50"/>
  <c r="E123" i="50"/>
  <c r="E124" i="50"/>
  <c r="E125" i="50"/>
  <c r="E126" i="50"/>
  <c r="E127" i="50"/>
  <c r="E128" i="50"/>
  <c r="E129" i="50"/>
  <c r="E130" i="50"/>
  <c r="E131" i="50"/>
  <c r="E132" i="50"/>
  <c r="E133" i="50"/>
  <c r="E134" i="50"/>
  <c r="E135" i="50"/>
  <c r="E136" i="50"/>
  <c r="E137" i="50"/>
  <c r="E138" i="50"/>
  <c r="E139" i="50"/>
  <c r="E140" i="50"/>
  <c r="E141" i="50"/>
  <c r="E142" i="50"/>
  <c r="E143" i="50"/>
  <c r="E144" i="50"/>
  <c r="E145" i="50"/>
  <c r="E146" i="50"/>
  <c r="E147" i="50"/>
  <c r="E148" i="50"/>
  <c r="E149" i="50"/>
  <c r="E150" i="50"/>
  <c r="E151" i="50"/>
  <c r="E152" i="50"/>
  <c r="E153" i="50"/>
  <c r="E154" i="50"/>
  <c r="E155" i="50"/>
  <c r="E156" i="50"/>
  <c r="E157" i="50"/>
  <c r="E158" i="50"/>
  <c r="E159" i="50"/>
  <c r="E160" i="50"/>
  <c r="E161" i="50"/>
  <c r="E162" i="50"/>
  <c r="E163" i="50"/>
  <c r="E164" i="50"/>
  <c r="E165" i="50"/>
  <c r="E166" i="50"/>
  <c r="E167" i="50"/>
  <c r="E168" i="50"/>
  <c r="E169" i="50"/>
  <c r="E170" i="50"/>
  <c r="E171" i="50"/>
  <c r="E172" i="50"/>
  <c r="E173" i="50"/>
  <c r="E174" i="50"/>
  <c r="E175" i="50"/>
  <c r="E176" i="50"/>
  <c r="E177" i="50"/>
  <c r="E178" i="50"/>
  <c r="E179" i="50"/>
  <c r="E180" i="50"/>
  <c r="E181" i="50"/>
  <c r="H25" i="38" l="1"/>
  <c r="E9" i="50" l="1"/>
  <c r="E1" i="50"/>
  <c r="E2" i="50"/>
  <c r="E3" i="50"/>
  <c r="E4" i="50"/>
  <c r="E5" i="50"/>
  <c r="E6" i="50"/>
  <c r="E7" i="50"/>
  <c r="E8" i="50"/>
  <c r="E10" i="50"/>
  <c r="E11" i="50"/>
  <c r="E12" i="50"/>
  <c r="E13" i="50"/>
  <c r="E14" i="50"/>
  <c r="D55" i="38" l="1"/>
  <c r="E55" i="38" s="1"/>
  <c r="D54" i="38"/>
  <c r="E54" i="38" s="1"/>
  <c r="L25" i="38" l="1"/>
  <c r="L37" i="38" s="1"/>
  <c r="M25" i="38"/>
  <c r="M37" i="38" s="1"/>
  <c r="M38" i="38" s="1"/>
  <c r="N25" i="38"/>
  <c r="N37" i="38" s="1"/>
  <c r="N49" i="38" s="1"/>
  <c r="O25" i="38"/>
  <c r="O37" i="38" s="1"/>
  <c r="O38" i="38" s="1"/>
  <c r="P25" i="38"/>
  <c r="P37" i="38" s="1"/>
  <c r="P38" i="38" s="1"/>
  <c r="Q25" i="38"/>
  <c r="Q37" i="38" s="1"/>
  <c r="Q38" i="38" s="1"/>
  <c r="R25" i="38"/>
  <c r="R37" i="38" s="1"/>
  <c r="S25" i="38"/>
  <c r="S37" i="38" s="1"/>
  <c r="S38" i="38" s="1"/>
  <c r="T25" i="38"/>
  <c r="T37" i="38" s="1"/>
  <c r="U25" i="38"/>
  <c r="U37" i="38" s="1"/>
  <c r="K25" i="38"/>
  <c r="K37" i="38" s="1"/>
  <c r="K38" i="38" s="1"/>
  <c r="H37" i="38"/>
  <c r="H38" i="38" s="1"/>
  <c r="I25" i="38"/>
  <c r="I37" i="38" s="1"/>
  <c r="I38" i="38" s="1"/>
  <c r="J25" i="38"/>
  <c r="J37" i="38" s="1"/>
  <c r="J38" i="38" s="1"/>
  <c r="G25" i="38"/>
  <c r="G37" i="38" s="1"/>
  <c r="G38" i="38" s="1"/>
  <c r="D40" i="38"/>
  <c r="E40" i="38" s="1"/>
  <c r="D38" i="38"/>
  <c r="E38" i="38" s="1"/>
  <c r="D30" i="38"/>
  <c r="E30" i="38" s="1"/>
  <c r="D27" i="38"/>
  <c r="E27" i="38" s="1"/>
  <c r="U38" i="38" l="1"/>
  <c r="T38" i="38"/>
  <c r="T49" i="38"/>
  <c r="R38" i="38"/>
  <c r="R49" i="38"/>
  <c r="P49" i="38"/>
  <c r="N38" i="38"/>
  <c r="L38" i="38"/>
  <c r="H49" i="38"/>
  <c r="J49" i="38"/>
  <c r="A37" i="49"/>
  <c r="A28" i="49"/>
  <c r="B91" i="49"/>
  <c r="C91" i="49"/>
  <c r="D91" i="49"/>
  <c r="E91" i="49"/>
  <c r="F91" i="49"/>
  <c r="D72" i="38"/>
  <c r="E72" i="38" s="1"/>
  <c r="A89" i="49"/>
  <c r="B37" i="49" l="1"/>
  <c r="F37" i="49"/>
  <c r="C37" i="49"/>
  <c r="D37" i="49"/>
  <c r="E37" i="49"/>
  <c r="B28" i="49"/>
  <c r="F28" i="49"/>
  <c r="C28" i="49"/>
  <c r="D28" i="49"/>
  <c r="E28" i="49"/>
  <c r="A90" i="49"/>
  <c r="D70" i="38"/>
  <c r="E70" i="38" s="1"/>
  <c r="D69" i="38"/>
  <c r="E69" i="38" s="1"/>
  <c r="A3" i="49"/>
  <c r="A4" i="49"/>
  <c r="A5" i="49"/>
  <c r="A6" i="49"/>
  <c r="A7" i="49"/>
  <c r="A8" i="49"/>
  <c r="A9" i="49"/>
  <c r="A10" i="49"/>
  <c r="A11" i="49"/>
  <c r="A12" i="49"/>
  <c r="A13" i="49"/>
  <c r="F90" i="49" l="1"/>
  <c r="E90" i="49"/>
  <c r="B90" i="49"/>
  <c r="C90" i="49"/>
  <c r="D90" i="49"/>
  <c r="A88" i="49"/>
  <c r="A87" i="49"/>
  <c r="A79" i="49" l="1"/>
  <c r="A81" i="49"/>
  <c r="A83" i="49"/>
  <c r="A82" i="49"/>
  <c r="A85" i="49"/>
  <c r="A78" i="49"/>
  <c r="A80" i="49"/>
  <c r="A77" i="49"/>
  <c r="A84" i="49"/>
  <c r="A76" i="49"/>
  <c r="A86" i="49"/>
  <c r="A70" i="49" l="1"/>
  <c r="A71" i="49"/>
  <c r="D60" i="38"/>
  <c r="D61" i="38"/>
  <c r="D19" i="38"/>
  <c r="A52" i="49" l="1"/>
  <c r="A53" i="49"/>
  <c r="E61" i="38"/>
  <c r="A64" i="49"/>
  <c r="E19" i="38"/>
  <c r="A18" i="49"/>
  <c r="E60" i="38"/>
  <c r="A63" i="49"/>
  <c r="B3" i="49"/>
  <c r="D4" i="49"/>
  <c r="C5" i="49"/>
  <c r="C6" i="49"/>
  <c r="D8" i="49"/>
  <c r="B9" i="49"/>
  <c r="F10" i="49"/>
  <c r="B11" i="49"/>
  <c r="D12" i="49"/>
  <c r="C13" i="49"/>
  <c r="B7" i="49"/>
  <c r="A2" i="49"/>
  <c r="F2" i="49" s="1"/>
  <c r="A12" i="40"/>
  <c r="F12" i="40" s="1"/>
  <c r="G12" i="40" l="1"/>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D52" i="49" l="1"/>
  <c r="E52" i="49"/>
  <c r="F52" i="49"/>
  <c r="C52" i="49"/>
  <c r="D65" i="38"/>
  <c r="A68" i="49" s="1"/>
  <c r="D68" i="38"/>
  <c r="A73" i="49" s="1"/>
  <c r="E65" i="38" l="1"/>
  <c r="E68" i="38"/>
  <c r="A59" i="49"/>
  <c r="A58" i="49"/>
  <c r="A57" i="49"/>
  <c r="D45" i="38"/>
  <c r="A44" i="49" s="1"/>
  <c r="D16" i="38"/>
  <c r="A15" i="49" s="1"/>
  <c r="D17" i="38"/>
  <c r="A16" i="49" s="1"/>
  <c r="D18" i="38"/>
  <c r="A17" i="49" s="1"/>
  <c r="D20" i="38"/>
  <c r="A19" i="49" s="1"/>
  <c r="D21" i="38"/>
  <c r="A20" i="49" s="1"/>
  <c r="D22" i="38"/>
  <c r="A21" i="49" s="1"/>
  <c r="D23" i="38"/>
  <c r="A22" i="49" s="1"/>
  <c r="D24" i="38"/>
  <c r="A23" i="49" s="1"/>
  <c r="D25" i="38"/>
  <c r="A24" i="49" s="1"/>
  <c r="D26" i="38"/>
  <c r="A25" i="49" s="1"/>
  <c r="D28" i="38"/>
  <c r="A26" i="49" s="1"/>
  <c r="D29" i="38"/>
  <c r="A27" i="49" s="1"/>
  <c r="D31" i="38"/>
  <c r="A29" i="49" s="1"/>
  <c r="D32" i="38"/>
  <c r="A30" i="49" s="1"/>
  <c r="A31" i="49"/>
  <c r="D33" i="38"/>
  <c r="A32" i="49" s="1"/>
  <c r="D34" i="38"/>
  <c r="A33" i="49" s="1"/>
  <c r="D35" i="38"/>
  <c r="A34" i="49" s="1"/>
  <c r="D36" i="38"/>
  <c r="A35" i="49" s="1"/>
  <c r="D37" i="38"/>
  <c r="A36" i="49" s="1"/>
  <c r="D39" i="38"/>
  <c r="A38" i="49" s="1"/>
  <c r="A39" i="49"/>
  <c r="D39" i="49" s="1"/>
  <c r="D41" i="38"/>
  <c r="A40" i="49" s="1"/>
  <c r="D42" i="38"/>
  <c r="A41" i="49" s="1"/>
  <c r="D43" i="38"/>
  <c r="A42" i="49" s="1"/>
  <c r="D44" i="38"/>
  <c r="A43" i="49" s="1"/>
  <c r="D46" i="38"/>
  <c r="A45" i="49" s="1"/>
  <c r="D47" i="38"/>
  <c r="A46" i="49" s="1"/>
  <c r="D48" i="38"/>
  <c r="A47" i="49" s="1"/>
  <c r="D49" i="38"/>
  <c r="A48" i="49" s="1"/>
  <c r="D50" i="38"/>
  <c r="A49" i="49" s="1"/>
  <c r="D51" i="38"/>
  <c r="A50" i="49" s="1"/>
  <c r="D52" i="38"/>
  <c r="A51" i="49" s="1"/>
  <c r="A60" i="49"/>
  <c r="D67" i="38"/>
  <c r="A72" i="49" s="1"/>
  <c r="D58" i="38"/>
  <c r="A61" i="49" s="1"/>
  <c r="D59" i="38"/>
  <c r="A62" i="49" s="1"/>
  <c r="D62" i="38"/>
  <c r="A65" i="49" s="1"/>
  <c r="D63" i="38"/>
  <c r="A66" i="49" s="1"/>
  <c r="D64" i="38"/>
  <c r="A67" i="49" s="1"/>
  <c r="D66" i="38"/>
  <c r="A69" i="49" s="1"/>
  <c r="D53" i="38"/>
  <c r="A54" i="49" s="1"/>
  <c r="D56" i="38"/>
  <c r="A55" i="49" s="1"/>
  <c r="D57" i="38"/>
  <c r="A56" i="49" s="1"/>
  <c r="A74" i="49"/>
  <c r="D71" i="38"/>
  <c r="A75" i="49" s="1"/>
  <c r="D15" i="38"/>
  <c r="A14" i="49" s="1"/>
  <c r="E57" i="38" l="1"/>
  <c r="E44" i="38"/>
  <c r="E32" i="38"/>
  <c r="E17" i="38"/>
  <c r="E15" i="38"/>
  <c r="E56" i="38"/>
  <c r="E63" i="38"/>
  <c r="E67" i="38"/>
  <c r="E52" i="38"/>
  <c r="E48" i="38"/>
  <c r="E43" i="38"/>
  <c r="E39" i="38"/>
  <c r="E34" i="38"/>
  <c r="E31" i="38"/>
  <c r="E25" i="38"/>
  <c r="E21" i="38"/>
  <c r="E16" i="38"/>
  <c r="E58" i="38"/>
  <c r="E49" i="38"/>
  <c r="E35" i="38"/>
  <c r="E22" i="38"/>
  <c r="E53" i="38"/>
  <c r="E62" i="38"/>
  <c r="E51" i="38"/>
  <c r="E47" i="38"/>
  <c r="E42" i="38"/>
  <c r="E37" i="38"/>
  <c r="E33" i="38"/>
  <c r="E29" i="38"/>
  <c r="E24" i="38"/>
  <c r="E20" i="38"/>
  <c r="F87" i="49"/>
  <c r="B87" i="49"/>
  <c r="E87" i="49"/>
  <c r="D87" i="49"/>
  <c r="C87" i="49"/>
  <c r="D85" i="49"/>
  <c r="C85" i="49"/>
  <c r="F85" i="49"/>
  <c r="B85" i="49"/>
  <c r="E85" i="49"/>
  <c r="E64" i="38"/>
  <c r="E26" i="38"/>
  <c r="E71" i="38"/>
  <c r="E66" i="38"/>
  <c r="E59" i="38"/>
  <c r="E50" i="38"/>
  <c r="E46" i="38"/>
  <c r="E41" i="38"/>
  <c r="E36" i="38"/>
  <c r="E23" i="38"/>
  <c r="E18" i="38"/>
  <c r="E45" i="38"/>
  <c r="E2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48" i="40"/>
  <c r="A49"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C80" i="49" l="1"/>
  <c r="D80" i="49"/>
  <c r="F80" i="49"/>
  <c r="B80" i="49"/>
  <c r="E80" i="49"/>
  <c r="B15" i="49"/>
  <c r="D15" i="49"/>
  <c r="F15" i="49"/>
  <c r="E15" i="49"/>
  <c r="C15" i="49"/>
  <c r="B41" i="49"/>
  <c r="E41" i="49"/>
  <c r="C41" i="49"/>
  <c r="D41" i="49"/>
  <c r="F41" i="49"/>
  <c r="C29" i="49"/>
  <c r="E29" i="49"/>
  <c r="D29" i="49"/>
  <c r="B29" i="49"/>
  <c r="F29" i="49"/>
  <c r="C76" i="49"/>
  <c r="F76" i="49"/>
  <c r="B76" i="49"/>
  <c r="E76" i="49"/>
  <c r="D76"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6" i="49"/>
  <c r="B86" i="49"/>
  <c r="D86" i="49"/>
  <c r="F86" i="49"/>
  <c r="C86" i="49"/>
  <c r="D89" i="49"/>
  <c r="E89" i="49"/>
  <c r="C89" i="49"/>
  <c r="F89" i="49"/>
  <c r="B89"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78" i="49"/>
  <c r="B78" i="49"/>
  <c r="D78" i="49"/>
  <c r="C78" i="49"/>
  <c r="F78" i="49"/>
  <c r="B32" i="49"/>
  <c r="F32" i="49"/>
  <c r="E32" i="49"/>
  <c r="C32" i="49"/>
  <c r="D32" i="49"/>
  <c r="B64" i="49"/>
  <c r="E64" i="49"/>
  <c r="D64" i="49"/>
  <c r="C64" i="49"/>
  <c r="F64" i="49"/>
  <c r="C71" i="49"/>
  <c r="D71" i="49"/>
  <c r="B71" i="49"/>
  <c r="F71" i="49"/>
  <c r="E71" i="49"/>
  <c r="D20" i="49"/>
  <c r="C20" i="49"/>
  <c r="E20" i="49"/>
  <c r="B20" i="49"/>
  <c r="F20" i="49"/>
  <c r="B47" i="49"/>
  <c r="C47" i="49"/>
  <c r="F47" i="49"/>
  <c r="E47" i="49"/>
  <c r="D47" i="49"/>
  <c r="C88" i="49"/>
  <c r="D88" i="49"/>
  <c r="F88" i="49"/>
  <c r="B88" i="49"/>
  <c r="E88" i="49"/>
  <c r="B70" i="49"/>
  <c r="C70" i="49"/>
  <c r="F70" i="49"/>
  <c r="E70" i="49"/>
  <c r="D70"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3" i="49"/>
  <c r="B83" i="49"/>
  <c r="C83" i="49"/>
  <c r="E83" i="49"/>
  <c r="D83" i="49"/>
  <c r="C14" i="49"/>
  <c r="F14" i="49"/>
  <c r="D14" i="49"/>
  <c r="B14" i="49"/>
  <c r="E14" i="49"/>
  <c r="D16" i="49"/>
  <c r="C16" i="49"/>
  <c r="F16" i="49"/>
  <c r="B16" i="49"/>
  <c r="E16" i="49"/>
  <c r="C42" i="49"/>
  <c r="D42" i="49"/>
  <c r="B42" i="49"/>
  <c r="F42" i="49"/>
  <c r="E42" i="49"/>
  <c r="B69" i="49"/>
  <c r="D69" i="49"/>
  <c r="F69" i="49"/>
  <c r="E69" i="49"/>
  <c r="C69" i="49"/>
  <c r="C33" i="49"/>
  <c r="D33" i="49"/>
  <c r="B33" i="49"/>
  <c r="F33" i="49"/>
  <c r="E33" i="49"/>
  <c r="B61" i="49"/>
  <c r="C61" i="49"/>
  <c r="D61" i="49"/>
  <c r="E61" i="49"/>
  <c r="F61" i="49"/>
  <c r="B23" i="49"/>
  <c r="C23" i="49"/>
  <c r="D23" i="49"/>
  <c r="E23" i="49"/>
  <c r="F23" i="49"/>
  <c r="C50" i="49"/>
  <c r="B50" i="49"/>
  <c r="D50" i="49"/>
  <c r="F50" i="49"/>
  <c r="E50" i="49"/>
  <c r="F79" i="49"/>
  <c r="B79" i="49"/>
  <c r="E79" i="49"/>
  <c r="D79" i="49"/>
  <c r="C79" i="49"/>
  <c r="B68" i="49"/>
  <c r="E68" i="49"/>
  <c r="C68" i="49"/>
  <c r="F68" i="49"/>
  <c r="D68" i="49"/>
  <c r="D77" i="49"/>
  <c r="E77" i="49"/>
  <c r="C77" i="49"/>
  <c r="F77" i="49"/>
  <c r="B77"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1" i="49"/>
  <c r="C81" i="49"/>
  <c r="F81" i="49"/>
  <c r="B81" i="49"/>
  <c r="E81" i="49"/>
  <c r="B72" i="49"/>
  <c r="C72" i="49"/>
  <c r="E72" i="49"/>
  <c r="D72" i="49"/>
  <c r="F72" i="49"/>
  <c r="B60" i="49"/>
  <c r="F60" i="49"/>
  <c r="C60" i="49"/>
  <c r="E60" i="49"/>
  <c r="D60" i="49"/>
  <c r="B38" i="49"/>
  <c r="C38" i="49"/>
  <c r="F38" i="49"/>
  <c r="D38" i="49"/>
  <c r="E38" i="49"/>
  <c r="C84" i="49"/>
  <c r="F84" i="49"/>
  <c r="B84" i="49"/>
  <c r="E84" i="49"/>
  <c r="D84" i="49"/>
  <c r="F75" i="49"/>
  <c r="B75" i="49"/>
  <c r="E75" i="49"/>
  <c r="D75" i="49"/>
  <c r="C75"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2" i="49"/>
  <c r="F82" i="49"/>
  <c r="D82" i="49"/>
  <c r="C82" i="49"/>
  <c r="B82" i="49"/>
  <c r="B73" i="49"/>
  <c r="F73" i="49"/>
  <c r="C73" i="49"/>
  <c r="E73" i="49"/>
  <c r="D73" i="49"/>
  <c r="B74" i="49"/>
  <c r="C74" i="49"/>
  <c r="D74" i="49"/>
  <c r="F74" i="49"/>
  <c r="E74"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B52" i="40" l="1"/>
  <c r="B72" i="40" l="1"/>
  <c r="B71" i="40"/>
  <c r="H74" i="40"/>
  <c r="G74" i="40"/>
  <c r="D74" i="40"/>
  <c r="B74" i="40"/>
  <c r="F74" i="40"/>
  <c r="B65" i="40" l="1"/>
  <c r="B70" i="40"/>
  <c r="B68" i="40"/>
  <c r="B63" i="40"/>
  <c r="B64" i="40"/>
  <c r="B69" i="40"/>
  <c r="B67" i="40"/>
  <c r="B66" i="40"/>
  <c r="B61" i="40"/>
  <c r="B59" i="40"/>
  <c r="B60" i="40" l="1"/>
  <c r="B62" i="40"/>
  <c r="B58" i="40"/>
  <c r="B56" i="40" l="1"/>
  <c r="B55" i="40"/>
  <c r="B54" i="40"/>
  <c r="B57" i="40"/>
  <c r="B53" i="40" l="1"/>
  <c r="AO3" i="39" l="1"/>
  <c r="AO2" i="39"/>
  <c r="Z4" i="39"/>
  <c r="Z3" i="39"/>
  <c r="Z2" i="39"/>
  <c r="R4" i="39"/>
  <c r="R3" i="39"/>
  <c r="R2" i="39"/>
  <c r="J4" i="39"/>
  <c r="J3" i="39"/>
  <c r="J2" i="39"/>
  <c r="B41" i="40" l="1"/>
  <c r="B39" i="40"/>
  <c r="B34" i="40" l="1"/>
  <c r="D66" i="40" l="1"/>
  <c r="D71" i="40"/>
  <c r="D52" i="40"/>
  <c r="H53" i="40"/>
  <c r="D55" i="40"/>
  <c r="D57" i="40"/>
  <c r="D58" i="40"/>
  <c r="A2" i="40" l="1"/>
  <c r="B2" i="40" s="1"/>
  <c r="C2" i="40" s="1"/>
  <c r="D6" i="40"/>
  <c r="D5" i="40"/>
  <c r="D4" i="40"/>
  <c r="H3" i="40"/>
  <c r="D65" i="40"/>
  <c r="G56" i="40"/>
  <c r="H56" i="40"/>
  <c r="D53" i="40"/>
  <c r="G54" i="40"/>
  <c r="H54" i="40"/>
  <c r="G59" i="40"/>
  <c r="H59" i="40"/>
  <c r="F73" i="40"/>
  <c r="H73" i="40"/>
  <c r="G68" i="40"/>
  <c r="H68" i="40"/>
  <c r="F72" i="40"/>
  <c r="H72" i="40"/>
  <c r="F67" i="40"/>
  <c r="H67" i="40"/>
  <c r="B4" i="40"/>
  <c r="D56" i="40"/>
  <c r="F55" i="40"/>
  <c r="H55" i="40"/>
  <c r="F60" i="40"/>
  <c r="H60" i="40"/>
  <c r="F58" i="40"/>
  <c r="H58" i="40"/>
  <c r="G52" i="40"/>
  <c r="H52" i="40"/>
  <c r="G66" i="40"/>
  <c r="H66" i="40"/>
  <c r="G65" i="40"/>
  <c r="H65" i="40"/>
  <c r="D73" i="40"/>
  <c r="D68" i="40"/>
  <c r="D60" i="40"/>
  <c r="D54" i="40"/>
  <c r="F6" i="40"/>
  <c r="H6" i="40"/>
  <c r="G71" i="40"/>
  <c r="H71" i="40"/>
  <c r="G7" i="40"/>
  <c r="H7" i="40"/>
  <c r="F57" i="40"/>
  <c r="H57" i="40"/>
  <c r="D72" i="40"/>
  <c r="D67" i="40"/>
  <c r="D59" i="40"/>
  <c r="D7" i="40"/>
  <c r="B6" i="40"/>
  <c r="B3" i="40"/>
  <c r="B73" i="40"/>
  <c r="B7" i="40"/>
  <c r="G72" i="40"/>
  <c r="F7" i="40"/>
  <c r="F56" i="40"/>
  <c r="G58" i="40"/>
  <c r="F53" i="40"/>
  <c r="G53" i="40"/>
  <c r="G57" i="40"/>
  <c r="G67" i="40"/>
  <c r="G6" i="40"/>
  <c r="F68" i="40"/>
  <c r="F54" i="40"/>
  <c r="F59" i="40"/>
  <c r="F52" i="40"/>
  <c r="G55" i="40"/>
  <c r="F71" i="40"/>
  <c r="F66" i="40"/>
  <c r="F65" i="40"/>
  <c r="G73" i="40"/>
  <c r="G60" i="40"/>
  <c r="F3" i="40"/>
  <c r="G4" i="40"/>
  <c r="F4" i="40"/>
  <c r="B30" i="40"/>
  <c r="B45" i="40"/>
  <c r="D63" i="40"/>
  <c r="B29" i="40" l="1"/>
  <c r="B33" i="40"/>
  <c r="B51" i="40"/>
  <c r="D51" i="40"/>
  <c r="B37" i="40"/>
  <c r="B28" i="40"/>
  <c r="B32" i="40"/>
  <c r="G51" i="40"/>
  <c r="H51" i="40"/>
  <c r="B43" i="40"/>
  <c r="D47" i="40"/>
  <c r="G46" i="40"/>
  <c r="B27" i="40"/>
  <c r="B31" i="40"/>
  <c r="F51" i="40"/>
  <c r="B36" i="40"/>
  <c r="B38" i="40"/>
  <c r="B42" i="40"/>
  <c r="B35" i="40"/>
  <c r="B40" i="40"/>
  <c r="B44" i="40"/>
  <c r="G2" i="40"/>
  <c r="H61" i="40"/>
  <c r="G62" i="40"/>
  <c r="H2" i="40"/>
  <c r="D2" i="40"/>
  <c r="E2" i="40" s="1"/>
  <c r="G63" i="40"/>
  <c r="D62" i="40"/>
  <c r="F61" i="40"/>
  <c r="H63" i="40"/>
  <c r="H62" i="40"/>
  <c r="H64" i="40"/>
  <c r="F63" i="40"/>
  <c r="F62" i="40"/>
  <c r="F64" i="40"/>
  <c r="G64" i="40"/>
  <c r="G61" i="40"/>
  <c r="D61" i="40"/>
  <c r="D64" i="40"/>
  <c r="F2" i="40"/>
  <c r="G3" i="40"/>
  <c r="H4" i="40"/>
  <c r="D3" i="40"/>
  <c r="B5" i="40"/>
  <c r="G5" i="40"/>
  <c r="H5" i="40"/>
  <c r="F5" i="40"/>
  <c r="C3" i="40"/>
  <c r="C4" i="40" s="1"/>
  <c r="H47" i="40" l="1"/>
  <c r="F46" i="40"/>
  <c r="H46" i="40"/>
  <c r="D46" i="40"/>
  <c r="G47" i="40"/>
  <c r="B46" i="40"/>
  <c r="F47" i="40"/>
  <c r="G35" i="40"/>
  <c r="F35" i="40"/>
  <c r="H35" i="40"/>
  <c r="D35" i="40"/>
  <c r="B49" i="40"/>
  <c r="G49" i="40"/>
  <c r="F49" i="40"/>
  <c r="H49" i="40"/>
  <c r="D49" i="40"/>
  <c r="B50" i="40"/>
  <c r="D50" i="40"/>
  <c r="F50" i="40"/>
  <c r="H50" i="40"/>
  <c r="G50" i="40"/>
  <c r="B47" i="40"/>
  <c r="B48" i="40"/>
  <c r="D48" i="40"/>
  <c r="H48" i="40"/>
  <c r="G48" i="40"/>
  <c r="F48" i="40"/>
  <c r="G36" i="40"/>
  <c r="H36" i="40"/>
  <c r="D36" i="40"/>
  <c r="F36" i="40"/>
  <c r="D70" i="40"/>
  <c r="G70" i="40"/>
  <c r="F70" i="40"/>
  <c r="H70" i="40"/>
  <c r="D69" i="40"/>
  <c r="F69" i="40"/>
  <c r="G69" i="40"/>
  <c r="H69"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E8" i="40" l="1"/>
  <c r="E9" i="40" s="1"/>
  <c r="E10" i="40" s="1"/>
  <c r="E11" i="40" s="1"/>
  <c r="C8" i="40"/>
  <c r="C9" i="40" s="1"/>
  <c r="C10" i="40" s="1"/>
  <c r="C11" i="40" s="1"/>
  <c r="C12" i="40" l="1"/>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alcChain>
</file>

<file path=xl/sharedStrings.xml><?xml version="1.0" encoding="utf-8"?>
<sst xmlns="http://schemas.openxmlformats.org/spreadsheetml/2006/main" count="5174" uniqueCount="1494">
  <si>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</si>
  <si>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</si>
  <si>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</si>
  <si>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</si>
  <si>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</si>
  <si>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</si>
  <si>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</si>
  <si>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</si>
  <si>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</si>
  <si>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</si>
  <si>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</si>
  <si>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</si>
  <si>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</si>
  <si>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</si>
  <si>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</si>
  <si>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</si>
  <si>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</si>
  <si>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</si>
  <si>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</si>
  <si>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</si>
  <si>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</si>
  <si>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</si>
  <si>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</si>
  <si>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</si>
  <si>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</si>
  <si>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</si>
  <si>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</si>
  <si>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</si>
  <si>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</si>
  <si>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</si>
  <si>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</si>
  <si>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</si>
  <si>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</si>
  <si>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</si>
  <si>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</si>
  <si>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</si>
  <si>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</si>
  <si>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</si>
  <si>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</si>
  <si>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</si>
  <si>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</si>
  <si>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</si>
  <si>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</si>
  <si>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</si>
  <si>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</si>
  <si>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</si>
  <si>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</si>
  <si>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</si>
  <si>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</si>
  <si>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</si>
  <si>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</si>
  <si>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</si>
  <si>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</si>
  <si>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</si>
  <si>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</si>
  <si>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</si>
  <si>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</si>
  <si>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</si>
  <si>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</si>
  <si>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</si>
  <si>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</si>
  <si>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</si>
  <si>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</si>
  <si>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</si>
  <si>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</si>
  <si>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</si>
  <si>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</si>
  <si>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</si>
  <si>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</si>
  <si>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</si>
  <si>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</si>
  <si>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</si>
  <si>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</si>
  <si>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</si>
  <si>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</si>
  <si>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</si>
  <si>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</si>
  <si>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</si>
  <si>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</si>
  <si>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</si>
  <si>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</si>
  <si>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</si>
  <si>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</si>
  <si>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</si>
  <si>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</si>
  <si>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</si>
  <si>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</si>
  <si>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</si>
  <si>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</si>
  <si>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</si>
  <si>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</si>
  <si>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</si>
  <si>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</si>
  <si>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</si>
  <si>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</si>
  <si>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</si>
  <si>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</si>
  <si>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Automation Street Name</t>
  </si>
  <si>
    <t>Postal Code</t>
  </si>
  <si>
    <t>City</t>
  </si>
  <si>
    <t>Madrid</t>
  </si>
  <si>
    <t>ContactInformation_Address_Province2</t>
  </si>
  <si>
    <t>ContactInformation_Address_Type2</t>
  </si>
  <si>
    <t>Use For</t>
  </si>
  <si>
    <t>"Permanent" or "Temporary"</t>
  </si>
  <si>
    <t>Street Address</t>
  </si>
  <si>
    <t>Email</t>
  </si>
  <si>
    <t>Email Address</t>
  </si>
  <si>
    <t>automation@qe.com</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</si>
  <si>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</si>
  <si>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</si>
  <si>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</si>
  <si>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</si>
  <si>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</si>
  <si>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</si>
  <si>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</si>
  <si>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</si>
  <si>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</si>
  <si>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</si>
  <si>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</si>
  <si>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</si>
  <si>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</si>
  <si>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</si>
  <si>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</si>
  <si>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</si>
  <si>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</si>
  <si>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</si>
  <si>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</si>
  <si>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</si>
  <si>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</si>
  <si>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</si>
  <si>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</si>
  <si>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</si>
  <si>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</si>
  <si>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</si>
  <si>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</si>
  <si>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</si>
  <si>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</si>
  <si>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</si>
  <si>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</si>
  <si>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</si>
  <si>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</si>
  <si>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</si>
  <si>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</si>
  <si>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</si>
  <si>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</si>
  <si>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</si>
  <si>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</si>
  <si>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</si>
  <si>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</si>
  <si>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</si>
  <si>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</si>
  <si>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</si>
  <si>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</si>
  <si>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</si>
  <si>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</si>
  <si>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</si>
  <si>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</si>
  <si>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</si>
  <si>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</si>
  <si>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</si>
  <si>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</si>
  <si>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</si>
  <si>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</si>
  <si>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</si>
  <si>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</si>
  <si>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</si>
  <si>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</si>
  <si>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</si>
  <si>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</si>
  <si>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Date Of Birth</t>
  </si>
  <si>
    <t>City Of Birth</t>
  </si>
  <si>
    <t>Marital Status</t>
  </si>
  <si>
    <t>ChangeMyPersonalInformation_MaritalStatus2</t>
  </si>
  <si>
    <t>Married</t>
  </si>
  <si>
    <t>Marital Status Date</t>
  </si>
  <si>
    <t>Primary Nationality</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</si>
  <si>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</si>
  <si>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</si>
  <si>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</si>
  <si>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</si>
  <si>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</si>
  <si>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</si>
  <si>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</si>
  <si>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</si>
  <si>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</si>
  <si>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</si>
  <si>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</si>
  <si>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 Election Option</t>
  </si>
  <si>
    <t>Account Type</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</si>
  <si>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</si>
  <si>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</si>
  <si>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</si>
  <si>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</si>
  <si>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</si>
  <si>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</si>
  <si>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</si>
  <si>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</si>
  <si>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</si>
  <si>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</si>
  <si>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</si>
  <si>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</si>
  <si>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</si>
  <si>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</si>
  <si>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</si>
  <si>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</si>
  <si>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</si>
  <si>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</si>
  <si>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</si>
  <si>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</si>
  <si>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</si>
  <si>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</si>
  <si>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</si>
  <si>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</si>
  <si>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</si>
  <si>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</si>
  <si>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</si>
  <si>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</si>
  <si>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</si>
  <si>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</si>
  <si>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</si>
  <si>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</si>
  <si>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</si>
  <si>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</si>
  <si>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</si>
  <si>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</si>
  <si>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</si>
  <si>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</si>
  <si>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</si>
  <si>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</si>
  <si>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</si>
  <si>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</si>
  <si>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</si>
  <si>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</si>
  <si>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</si>
  <si>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</si>
  <si>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</si>
  <si>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</si>
  <si>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</si>
  <si>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</si>
  <si>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</si>
  <si>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</si>
  <si>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</si>
  <si>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</si>
  <si>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</si>
  <si>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</si>
  <si>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</si>
  <si>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</si>
  <si>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</si>
  <si>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</si>
  <si>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</si>
  <si>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</si>
  <si>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</si>
  <si>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</si>
  <si>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</si>
  <si>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</si>
  <si>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</si>
  <si>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</si>
  <si>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</si>
  <si>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</si>
  <si>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</si>
  <si>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</si>
  <si>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</si>
  <si>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</si>
  <si>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</si>
  <si>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</si>
  <si>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</si>
  <si>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</si>
  <si>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</si>
  <si>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</si>
  <si>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</si>
  <si>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</si>
  <si>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</si>
  <si>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</si>
  <si>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</si>
  <si>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</si>
  <si>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</si>
  <si>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</si>
  <si>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</si>
  <si>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</si>
  <si>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</si>
  <si>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</si>
  <si>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</si>
  <si>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</si>
  <si>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</si>
  <si>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</si>
  <si>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</si>
  <si>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</si>
  <si>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</si>
  <si>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</si>
  <si>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</si>
  <si>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</si>
  <si>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</si>
  <si>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</si>
  <si>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</si>
  <si>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</si>
  <si>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</si>
  <si>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</si>
  <si>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</si>
  <si>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</si>
  <si>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</si>
  <si>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</si>
  <si>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</si>
  <si>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</si>
  <si>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</si>
  <si>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</si>
  <si>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</si>
  <si>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</si>
  <si>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</si>
  <si>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</si>
  <si>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</si>
  <si>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</si>
  <si>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</si>
  <si>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</si>
  <si>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</si>
  <si>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</si>
  <si>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</si>
  <si>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</si>
  <si>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</si>
  <si>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</si>
  <si>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</si>
  <si>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</si>
  <si>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</si>
  <si>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</si>
  <si>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</si>
  <si>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</si>
  <si>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</si>
  <si>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</si>
  <si>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</si>
  <si>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</si>
  <si>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</si>
  <si>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</si>
  <si>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</si>
  <si>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</si>
  <si>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</si>
  <si>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</si>
  <si>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</si>
  <si>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</si>
  <si>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</si>
  <si>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</si>
  <si>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</si>
  <si>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</si>
  <si>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</si>
  <si>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</si>
  <si>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</si>
  <si>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</si>
  <si>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</si>
  <si>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</si>
  <si>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</si>
  <si>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</si>
  <si>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</si>
  <si>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</si>
  <si>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</si>
  <si>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</si>
  <si>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</si>
  <si>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</si>
  <si>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</si>
  <si>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</si>
  <si>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</si>
  <si>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</si>
  <si>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</si>
  <si>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</si>
  <si>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</si>
  <si>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</si>
  <si>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</si>
  <si>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</si>
  <si>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</si>
  <si>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</si>
  <si>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</si>
  <si>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</si>
  <si>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</si>
  <si>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</si>
  <si>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</si>
  <si>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</si>
  <si>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</si>
  <si>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</si>
  <si>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</si>
  <si>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</si>
  <si>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</si>
  <si>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</si>
  <si>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</si>
  <si>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</si>
  <si>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</si>
  <si>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</si>
  <si>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</si>
  <si>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</si>
  <si>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</si>
  <si>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</si>
  <si>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</si>
  <si>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</si>
  <si>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</si>
  <si>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</si>
  <si>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</si>
  <si>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</si>
  <si>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</si>
  <si>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</si>
  <si>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</si>
  <si>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</si>
  <si>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</si>
  <si>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</si>
  <si>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</si>
  <si>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</si>
  <si>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</si>
  <si>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</si>
  <si>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</si>
  <si>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</si>
  <si>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</si>
  <si>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</si>
  <si>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</si>
  <si>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</si>
  <si>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</si>
  <si>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</si>
  <si>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</si>
  <si>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</si>
  <si>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</si>
  <si>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</si>
  <si>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</si>
  <si>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</si>
  <si>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</si>
  <si>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</si>
  <si>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</si>
  <si>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</si>
  <si>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</si>
  <si>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</si>
  <si>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</si>
  <si>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</si>
  <si>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</si>
  <si>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</si>
  <si>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</si>
  <si>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</si>
  <si>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</si>
  <si>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</si>
  <si>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</si>
  <si>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</si>
  <si>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</si>
  <si>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</si>
  <si>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</si>
  <si>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</si>
  <si>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</si>
  <si>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</si>
  <si>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</si>
  <si>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</si>
  <si>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</si>
  <si>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</si>
  <si>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</si>
  <si>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</si>
  <si>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</si>
  <si>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</si>
  <si>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</si>
  <si>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</si>
  <si>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</si>
  <si>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</si>
  <si>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</si>
  <si>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</si>
  <si>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</si>
  <si>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</si>
  <si>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</si>
  <si>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</si>
  <si>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</si>
  <si>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</si>
  <si>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</si>
  <si>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</si>
  <si>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</si>
  <si>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</si>
  <si>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</si>
  <si>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</si>
  <si>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</si>
  <si>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</si>
  <si>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</si>
  <si>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</si>
  <si>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</si>
  <si>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</si>
  <si>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</si>
  <si>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</si>
  <si>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</si>
  <si>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</si>
  <si>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</si>
  <si>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</si>
  <si>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</si>
  <si>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</si>
  <si>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</si>
  <si>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</si>
  <si>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</si>
  <si>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</si>
  <si>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</si>
  <si>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</si>
  <si>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</si>
  <si>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</si>
  <si>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</si>
  <si>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</si>
  <si>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</si>
  <si>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</si>
  <si>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</si>
  <si>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</si>
  <si>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</si>
  <si>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</si>
  <si>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</si>
  <si>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</si>
  <si>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</si>
  <si>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</si>
  <si>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</si>
  <si>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</si>
  <si>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</si>
  <si>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</si>
  <si>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</si>
  <si>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</si>
  <si>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</si>
  <si>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</si>
  <si>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</si>
  <si>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</si>
  <si>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</si>
  <si>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</si>
  <si>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</si>
  <si>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</si>
  <si>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</si>
  <si>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</si>
  <si>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</si>
  <si>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</si>
  <si>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</si>
  <si>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</si>
  <si>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</si>
  <si>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</si>
  <si>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</si>
  <si>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</si>
  <si>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</si>
  <si>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</si>
  <si>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</si>
  <si>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</si>
  <si>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</si>
  <si>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</si>
  <si>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</si>
  <si>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</si>
  <si>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</si>
  <si>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</si>
  <si>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</si>
  <si>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</si>
  <si>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</si>
  <si>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</si>
  <si>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</si>
  <si>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</si>
  <si>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</si>
  <si>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</si>
  <si>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</si>
  <si>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</si>
  <si>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</si>
  <si>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</si>
  <si>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</si>
  <si>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</si>
  <si>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</si>
  <si>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</si>
  <si>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</si>
  <si>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</si>
  <si>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</si>
  <si>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</si>
  <si>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</si>
  <si>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</si>
  <si>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</si>
  <si>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</si>
  <si>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</si>
  <si>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</si>
  <si>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</si>
  <si>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</si>
  <si>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</si>
  <si>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</si>
  <si>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</si>
  <si>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</si>
  <si>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</si>
  <si>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</si>
  <si>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</si>
  <si>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</si>
  <si>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</si>
  <si>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</si>
  <si>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</si>
  <si>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</si>
  <si>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</si>
  <si>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</si>
  <si>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</si>
  <si>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</si>
  <si>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</si>
  <si>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</si>
  <si>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</si>
  <si>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</si>
  <si>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</si>
  <si>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</si>
  <si>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</si>
  <si>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</si>
  <si>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</si>
  <si>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</si>
  <si>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</si>
  <si>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</si>
  <si>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</si>
  <si>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</si>
  <si>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</si>
  <si>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</si>
  <si>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</si>
  <si>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</si>
  <si>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</si>
  <si>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</si>
  <si>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</si>
  <si>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</si>
  <si>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</si>
  <si>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</si>
  <si>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</si>
  <si>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</si>
  <si>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</si>
  <si>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</si>
  <si>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</si>
  <si>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</si>
  <si>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</si>
  <si>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</si>
  <si>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</si>
  <si>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</si>
  <si>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</si>
  <si>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</si>
  <si>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</si>
  <si>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</si>
  <si>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</si>
  <si>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</si>
  <si>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</si>
  <si>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</si>
  <si>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</si>
  <si>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</si>
  <si>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</si>
  <si>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</si>
  <si>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</si>
  <si>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</si>
  <si>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</si>
  <si>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</si>
  <si>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</si>
  <si>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</si>
  <si>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</si>
  <si>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</si>
  <si>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</si>
  <si>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</si>
  <si>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</si>
  <si>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</si>
  <si>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</si>
  <si>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</si>
  <si>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</si>
  <si>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</si>
  <si>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</si>
  <si>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</si>
  <si>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</si>
  <si>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</si>
  <si>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</si>
  <si>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</si>
  <si>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</si>
  <si>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</si>
  <si>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</si>
  <si>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</si>
  <si>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</si>
  <si>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</si>
  <si>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</si>
  <si>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</si>
  <si>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</si>
  <si>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</si>
  <si>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</si>
  <si>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</si>
  <si>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</si>
  <si>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</si>
  <si>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</si>
  <si>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</si>
  <si>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</si>
  <si>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</si>
  <si>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</si>
  <si>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</si>
  <si>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</si>
  <si>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</si>
  <si>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</si>
  <si>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</si>
  <si>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</si>
  <si>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</si>
  <si>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</si>
  <si>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</si>
  <si>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</si>
  <si>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</si>
  <si>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</si>
  <si>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</si>
  <si>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</si>
  <si>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</si>
  <si>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</si>
  <si>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</si>
  <si>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</si>
  <si>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</si>
  <si>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</si>
  <si>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</si>
  <si>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</si>
  <si>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</si>
  <si>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</si>
  <si>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</si>
  <si>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</si>
  <si>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</si>
  <si>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</si>
  <si>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</si>
  <si>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</si>
  <si>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</si>
  <si>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</si>
  <si>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</si>
  <si>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</si>
  <si>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</si>
  <si>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</si>
  <si>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</si>
  <si>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</si>
  <si>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</si>
  <si>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</si>
  <si>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</si>
  <si>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</si>
  <si>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</si>
  <si>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</si>
  <si>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</si>
  <si>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</si>
  <si>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</si>
  <si>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</si>
  <si>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</si>
  <si>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</si>
  <si>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</si>
  <si>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</si>
  <si>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</si>
  <si>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</si>
  <si>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</si>
  <si>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</si>
  <si>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</si>
  <si>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</si>
  <si>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</si>
  <si>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</si>
  <si>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</si>
  <si>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</si>
  <si>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</si>
  <si>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</si>
  <si>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</si>
  <si>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</si>
  <si>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</si>
  <si>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</si>
  <si>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</si>
  <si>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</si>
  <si>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</si>
  <si>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</si>
  <si>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</si>
  <si>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</si>
  <si>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</si>
  <si>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</si>
  <si>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</si>
  <si>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</si>
  <si>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</si>
  <si>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</si>
  <si>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</si>
  <si>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</si>
  <si>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</si>
  <si>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</si>
  <si>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</si>
  <si>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</si>
  <si>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</si>
  <si>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</si>
  <si>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</si>
  <si>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</si>
  <si>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</si>
  <si>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</si>
  <si>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</si>
  <si>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</si>
  <si>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</si>
  <si>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</si>
  <si>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</si>
  <si>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</si>
  <si>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</si>
  <si>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</si>
  <si>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</si>
  <si>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</si>
  <si>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</si>
  <si>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</si>
  <si>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</si>
  <si>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</si>
  <si>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</si>
  <si>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</si>
  <si>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</si>
  <si>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</si>
  <si>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</si>
  <si>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</si>
  <si>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</si>
  <si>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</si>
  <si>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</si>
  <si>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</si>
  <si>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</si>
  <si>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</si>
  <si>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</si>
  <si>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</si>
  <si>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</si>
  <si>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</si>
  <si>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</si>
  <si>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</si>
  <si>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</si>
  <si>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</si>
  <si>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</si>
  <si>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</si>
  <si>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</si>
  <si>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</si>
  <si>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</si>
  <si>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</si>
  <si>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</si>
  <si>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</si>
  <si>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</si>
  <si>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</si>
  <si>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</si>
  <si>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</si>
  <si>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</si>
  <si>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</si>
  <si>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</si>
  <si>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</si>
  <si>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</si>
  <si>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</si>
  <si>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</si>
  <si>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</si>
  <si>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</si>
  <si>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</si>
  <si>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</si>
  <si>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</si>
  <si>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</si>
  <si>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</si>
  <si>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</si>
  <si>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</si>
  <si>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</si>
  <si>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</si>
  <si>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</si>
  <si>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</si>
  <si>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</si>
  <si>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</si>
  <si>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</si>
  <si>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</si>
  <si>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</si>
  <si>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</si>
  <si>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</si>
  <si>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</si>
  <si>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</si>
  <si>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</si>
  <si>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</si>
  <si>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</si>
  <si>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</si>
  <si>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</si>
  <si>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</si>
  <si>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</si>
  <si>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</si>
  <si>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</si>
  <si>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</si>
  <si>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</si>
  <si>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</si>
  <si>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</si>
  <si>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</si>
  <si>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</si>
  <si>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</si>
  <si>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</si>
  <si>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</si>
  <si>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</si>
  <si>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</si>
  <si>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</si>
  <si>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</si>
  <si>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</si>
  <si>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</si>
  <si>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</si>
  <si>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</si>
  <si>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</si>
  <si>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</si>
  <si>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</si>
  <si>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</si>
  <si>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</si>
  <si>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</si>
  <si>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</si>
  <si>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</si>
  <si>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</si>
  <si>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</si>
  <si>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</si>
  <si>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</si>
  <si>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</si>
  <si>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</si>
  <si>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</si>
  <si>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</si>
  <si>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</si>
  <si>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</si>
  <si>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</si>
  <si>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</si>
  <si>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</si>
  <si>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</si>
  <si>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</si>
  <si>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</si>
  <si>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</si>
  <si>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</si>
  <si>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</si>
  <si>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</si>
  <si>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</si>
  <si>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</si>
  <si>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</si>
  <si>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</si>
  <si>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</si>
  <si>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</si>
  <si>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</si>
  <si>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</si>
  <si>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</si>
  <si>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</si>
  <si>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</si>
  <si>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</si>
  <si>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</si>
  <si>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</si>
  <si>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</si>
  <si>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</si>
  <si>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</si>
  <si>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</si>
  <si>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</si>
  <si>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</si>
  <si>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</si>
  <si>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</si>
  <si>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</si>
  <si>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</si>
  <si>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</si>
  <si>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</si>
  <si>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</si>
  <si>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</si>
  <si>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</si>
  <si>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</si>
  <si>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</si>
  <si>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</si>
  <si>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</si>
  <si>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</si>
  <si>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</si>
  <si>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</si>
  <si>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</si>
  <si>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</si>
  <si>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</si>
  <si>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</si>
  <si>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</si>
  <si>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</si>
  <si>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</si>
  <si>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</si>
  <si>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</si>
  <si>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</si>
  <si>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</si>
  <si>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</si>
  <si>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</si>
  <si>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</si>
  <si>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</si>
  <si>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</si>
  <si>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</si>
  <si>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</si>
  <si>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</si>
  <si>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</si>
  <si>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</si>
  <si>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</si>
  <si>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</si>
  <si>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</si>
  <si>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</si>
  <si>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</si>
  <si>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</si>
  <si>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</si>
  <si>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</si>
  <si>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</si>
  <si>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</si>
  <si>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</si>
  <si>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</si>
  <si>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</si>
  <si>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</si>
  <si>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</si>
  <si>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</si>
  <si>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</si>
  <si>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</si>
  <si>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</si>
  <si>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</si>
  <si>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</si>
  <si>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</si>
  <si>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</si>
  <si>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</si>
  <si>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</si>
  <si>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</si>
  <si>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</si>
  <si>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</si>
  <si>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</si>
  <si>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</si>
  <si>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</si>
  <si>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</si>
  <si>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</si>
  <si>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</si>
  <si>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</si>
  <si>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</si>
  <si>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</si>
  <si>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</si>
  <si>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</si>
  <si>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</si>
  <si>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</si>
  <si>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</si>
  <si>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</si>
  <si>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</si>
  <si>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</si>
  <si>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</si>
  <si>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</si>
  <si>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</si>
  <si>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</si>
  <si>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</si>
  <si>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</si>
  <si>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</si>
  <si>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</si>
  <si>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</si>
  <si>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</si>
  <si>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</si>
  <si>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</si>
  <si>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</si>
  <si>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</si>
  <si>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</si>
  <si>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</si>
  <si>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</si>
  <si>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</si>
  <si>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</si>
  <si>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</si>
  <si>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</si>
  <si>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</si>
  <si>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</si>
  <si>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</si>
  <si>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</si>
  <si>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</si>
  <si>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</si>
  <si>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</si>
  <si>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</si>
  <si>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</si>
  <si>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</si>
  <si>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</si>
  <si>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</si>
  <si>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</si>
  <si>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</si>
  <si>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</si>
  <si>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</si>
  <si>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</si>
  <si>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</si>
  <si>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</si>
  <si>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</si>
  <si>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</si>
  <si>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</si>
  <si>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</si>
  <si>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</si>
  <si>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</si>
  <si>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</si>
  <si>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</si>
  <si>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</si>
  <si>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</si>
  <si>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</si>
  <si>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</si>
  <si>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</si>
  <si>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</si>
  <si>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</si>
  <si>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</si>
  <si>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</si>
  <si>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</si>
  <si>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</si>
  <si>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</si>
  <si>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</si>
  <si>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</si>
  <si>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</si>
  <si>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</si>
  <si>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</si>
  <si>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</si>
  <si>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</si>
  <si>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</si>
  <si>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</si>
  <si>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</si>
  <si>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</si>
  <si>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</si>
  <si>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</si>
  <si>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</si>
  <si>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</si>
  <si>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</si>
  <si>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</si>
  <si>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</si>
  <si>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</si>
  <si>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</si>
  <si>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</si>
  <si>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</si>
  <si>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</si>
  <si>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</si>
  <si>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</si>
  <si>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</si>
  <si>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</si>
  <si>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</si>
  <si>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</si>
  <si>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</si>
  <si>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</si>
  <si>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</si>
  <si>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</si>
  <si>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</si>
  <si>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</si>
  <si>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</si>
  <si>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</si>
  <si>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</si>
  <si>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</si>
  <si>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</si>
  <si>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</si>
  <si>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</si>
  <si>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</si>
  <si>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</si>
  <si>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</si>
  <si>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</si>
  <si>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</si>
  <si>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</si>
  <si>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</si>
  <si>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</si>
  <si>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</si>
  <si>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</si>
  <si>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</si>
  <si>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</si>
  <si>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</si>
  <si>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</si>
  <si>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</si>
  <si>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</si>
  <si>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</si>
  <si>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</si>
  <si>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</si>
  <si>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</si>
  <si>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</si>
  <si>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</si>
  <si>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</si>
  <si>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</si>
  <si>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</si>
  <si>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</si>
  <si>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</si>
  <si>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</si>
  <si>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</si>
  <si>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</si>
  <si>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</si>
  <si>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</si>
  <si>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</si>
  <si>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</si>
  <si>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</si>
  <si>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</si>
  <si>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</si>
  <si>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</si>
  <si>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</si>
  <si>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</si>
  <si>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</si>
  <si>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</si>
  <si>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</si>
  <si>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</si>
  <si>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</si>
  <si>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</si>
  <si>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</si>
  <si>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</si>
  <si>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</si>
  <si>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</si>
  <si>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</si>
  <si>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</si>
  <si>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</si>
  <si>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</si>
  <si>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</si>
  <si>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</si>
  <si>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</si>
  <si>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</si>
  <si>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</si>
  <si>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</si>
  <si>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</si>
  <si>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</si>
  <si>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</si>
  <si>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</si>
  <si>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</si>
  <si>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</si>
  <si>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</si>
  <si>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</si>
  <si>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</si>
  <si>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</si>
  <si>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</si>
  <si>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</si>
  <si>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</si>
  <si>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</si>
  <si>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</si>
  <si>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</si>
  <si>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</si>
  <si>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</si>
  <si>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</si>
  <si>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</si>
  <si>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</si>
  <si>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</si>
  <si>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</si>
  <si>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</si>
  <si>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</si>
  <si>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</si>
  <si>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</si>
  <si>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</si>
  <si>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</si>
  <si>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</si>
  <si>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</si>
  <si>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</si>
  <si>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</si>
  <si>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</si>
  <si>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</si>
  <si>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</si>
  <si>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</si>
  <si>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</si>
  <si>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</si>
  <si>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</si>
  <si>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</si>
  <si>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</si>
  <si>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</si>
  <si>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</si>
  <si>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</si>
  <si>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</si>
  <si>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</si>
  <si>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</si>
  <si>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</si>
  <si>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</si>
  <si>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</si>
  <si>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</si>
  <si>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</si>
  <si>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Bank Name</t>
  </si>
  <si>
    <t>Prefix</t>
  </si>
  <si>
    <t>Mr</t>
  </si>
  <si>
    <t>Country Of Birth</t>
  </si>
  <si>
    <t>Region Of Birth</t>
  </si>
  <si>
    <t>Bank Identification Code</t>
  </si>
  <si>
    <t>IBAN</t>
  </si>
  <si>
    <t>94 Retail Operative</t>
  </si>
  <si>
    <t>Male</t>
  </si>
  <si>
    <t>28/10/2021</t>
  </si>
  <si>
    <t>01 Accessories</t>
  </si>
  <si>
    <t>D94HG49</t>
  </si>
  <si>
    <t>Ireland</t>
  </si>
  <si>
    <t>Dublin</t>
  </si>
  <si>
    <t>001</t>
  </si>
  <si>
    <t>Default Work Shift (Ireland)</t>
  </si>
  <si>
    <t>AIB</t>
  </si>
  <si>
    <t>Personal Public Service Number (PPS no)</t>
  </si>
  <si>
    <t>IE Staff Weekly Group 10</t>
  </si>
  <si>
    <t>AdressLine1</t>
  </si>
  <si>
    <t>AdressLine2</t>
  </si>
  <si>
    <t>IE29AIBK93115212345678</t>
  </si>
  <si>
    <t>BOFIIE2D</t>
  </si>
  <si>
    <t>ProposedPayGroupFinal</t>
  </si>
  <si>
    <t>AdressLine3</t>
  </si>
  <si>
    <t>Race/Ethnicity</t>
  </si>
  <si>
    <t>County</t>
  </si>
  <si>
    <t>PaymentElectionOption_BankIdentificationCode</t>
  </si>
  <si>
    <t>White - Irish (Ireland)</t>
  </si>
  <si>
    <t>ManageProbationPeriod</t>
  </si>
  <si>
    <t>ProbationEndDate</t>
  </si>
  <si>
    <t>92 Retail Management</t>
  </si>
  <si>
    <t>Female</t>
  </si>
  <si>
    <t>Ms</t>
  </si>
  <si>
    <t>IrelandOne</t>
  </si>
  <si>
    <t>IrelandTwo</t>
  </si>
  <si>
    <t>IrelandThree</t>
  </si>
  <si>
    <t>IrelandFour</t>
  </si>
  <si>
    <t>IrelandFive</t>
  </si>
  <si>
    <t>Hourly</t>
  </si>
  <si>
    <t>IE Management Group 20</t>
  </si>
  <si>
    <t>Test_6</t>
  </si>
  <si>
    <t>Test_7</t>
  </si>
  <si>
    <t>Test_8</t>
  </si>
  <si>
    <t>Test_9</t>
  </si>
  <si>
    <t>Test_10</t>
  </si>
  <si>
    <t>Test_11</t>
  </si>
  <si>
    <t>Test_12</t>
  </si>
  <si>
    <t>Test_13</t>
  </si>
  <si>
    <t>Test_14</t>
  </si>
  <si>
    <t>Test_15</t>
  </si>
  <si>
    <t>IrelandSix</t>
  </si>
  <si>
    <t>IrelandSeven</t>
  </si>
  <si>
    <t>IrelandEight</t>
  </si>
  <si>
    <t>IrelandNine</t>
  </si>
  <si>
    <t>IrelandTen</t>
  </si>
  <si>
    <t>IrelandEleven</t>
  </si>
  <si>
    <t>IrelandTwelve</t>
  </si>
  <si>
    <t>IrelandThirteen</t>
  </si>
  <si>
    <t>IrelandFourteen</t>
  </si>
  <si>
    <t>IrelandFifteen</t>
  </si>
  <si>
    <t>Weekend Manager</t>
  </si>
  <si>
    <t>252 Weekend Management</t>
  </si>
  <si>
    <t>Team Manager - Retail</t>
  </si>
  <si>
    <t>Temporary</t>
  </si>
  <si>
    <t>P&amp;C Manager Stores</t>
  </si>
  <si>
    <t>Store Person</t>
  </si>
  <si>
    <t>23 Health &amp; Beauty</t>
  </si>
  <si>
    <t>255 Stockroom</t>
  </si>
  <si>
    <t>06 Menswear</t>
  </si>
  <si>
    <t>253 Supervisors</t>
  </si>
  <si>
    <t>Grade Profile</t>
  </si>
  <si>
    <t>Step</t>
  </si>
  <si>
    <t>ROI Weekend Manager (Year 1)</t>
  </si>
  <si>
    <t>ROI Team Manager - Retail (Probationary)</t>
  </si>
  <si>
    <t>Initial Step- ROI TM-Prob</t>
  </si>
  <si>
    <t>ROI Trainee Manager (Probationary)</t>
  </si>
  <si>
    <t>IY</t>
  </si>
  <si>
    <t>IZ</t>
  </si>
  <si>
    <t>JA</t>
  </si>
  <si>
    <t>JB</t>
  </si>
  <si>
    <t>2576651IY</t>
  </si>
  <si>
    <t>2576652IZ</t>
  </si>
  <si>
    <t>2576653JA</t>
  </si>
  <si>
    <t>2576654JB</t>
  </si>
  <si>
    <t>2576655JA</t>
  </si>
  <si>
    <t>2576656JA</t>
  </si>
  <si>
    <t>2576657JA</t>
  </si>
  <si>
    <t>2576658JA</t>
  </si>
  <si>
    <t>2576659JA</t>
  </si>
  <si>
    <t>2576660JA</t>
  </si>
  <si>
    <t>2576661JA</t>
  </si>
  <si>
    <t>2576662JA</t>
  </si>
  <si>
    <t>2576663JA</t>
  </si>
  <si>
    <t>2576664JA</t>
  </si>
  <si>
    <t>2576665JA</t>
  </si>
  <si>
    <t>001 Recruitment (Zatuw Pupopo (221849))</t>
  </si>
  <si>
    <t>001 Store Management (Mygij Zabuza (100446))</t>
  </si>
  <si>
    <t>2576844IY</t>
  </si>
  <si>
    <t>2576845IZ</t>
  </si>
  <si>
    <t>2576846JA</t>
  </si>
  <si>
    <t>2576847JB</t>
  </si>
  <si>
    <t>2576848JA</t>
  </si>
  <si>
    <t>2576849JA</t>
  </si>
  <si>
    <t>2576850JA</t>
  </si>
  <si>
    <t>2576851JA</t>
  </si>
  <si>
    <t>2576852JA</t>
  </si>
  <si>
    <t>2576853JA</t>
  </si>
  <si>
    <t>2576854JA</t>
  </si>
  <si>
    <t>2576855JA</t>
  </si>
  <si>
    <t>2576856JA</t>
  </si>
  <si>
    <t>2576857JA</t>
  </si>
  <si>
    <t>2576858JA</t>
  </si>
  <si>
    <t>2576859JA</t>
  </si>
  <si>
    <t>2576860JA</t>
  </si>
  <si>
    <t>2576861JA</t>
  </si>
  <si>
    <t>2576862JA</t>
  </si>
  <si>
    <t>2576863JA</t>
  </si>
  <si>
    <t>2576864JA</t>
  </si>
  <si>
    <t>2576865JA</t>
  </si>
  <si>
    <t>2576866JA</t>
  </si>
  <si>
    <t>2576867JA</t>
  </si>
  <si>
    <t>2576868JA</t>
  </si>
  <si>
    <t>2576869JA</t>
  </si>
  <si>
    <t>2576870JA</t>
  </si>
  <si>
    <t>2576871JA</t>
  </si>
  <si>
    <t>2576872JA</t>
  </si>
  <si>
    <t>2576873JA</t>
  </si>
  <si>
    <t>2576874JA</t>
  </si>
  <si>
    <t>2576875JA</t>
  </si>
  <si>
    <t>2576876JA</t>
  </si>
  <si>
    <t>2576877JA</t>
  </si>
  <si>
    <t>2576878JA</t>
  </si>
  <si>
    <t>2576879JA</t>
  </si>
  <si>
    <t>2576880JA</t>
  </si>
  <si>
    <t>2576881JA</t>
  </si>
  <si>
    <t>2576882JA</t>
  </si>
  <si>
    <t>2576883JA</t>
  </si>
  <si>
    <t>2576884JA</t>
  </si>
  <si>
    <t>2576885JA</t>
  </si>
  <si>
    <t>2576886JA</t>
  </si>
  <si>
    <t>2576887JA</t>
  </si>
  <si>
    <t>2576888JA</t>
  </si>
  <si>
    <t>Personal Public Service Number</t>
  </si>
  <si>
    <t>Irel</t>
  </si>
  <si>
    <t>2576889JA</t>
  </si>
  <si>
    <t>2576890JA</t>
  </si>
  <si>
    <t>2576891JA</t>
  </si>
  <si>
    <t>2576892JA</t>
  </si>
  <si>
    <t>2576893JA</t>
  </si>
  <si>
    <t>2576894JA</t>
  </si>
  <si>
    <t>2576895JA</t>
  </si>
  <si>
    <t>2576896JA</t>
  </si>
  <si>
    <t>2576897JA</t>
  </si>
  <si>
    <t>2576898JA</t>
  </si>
  <si>
    <t>2576899JA</t>
  </si>
  <si>
    <t>2576900JA</t>
  </si>
  <si>
    <t>2576901JA</t>
  </si>
  <si>
    <t>2576902JA</t>
  </si>
  <si>
    <t>2576903JA</t>
  </si>
  <si>
    <t>2576904JA</t>
  </si>
  <si>
    <t>2576905JA</t>
  </si>
  <si>
    <t>2576906JA</t>
  </si>
  <si>
    <t>2576907JA</t>
  </si>
  <si>
    <t>2576908JA</t>
  </si>
  <si>
    <t>2576909JA</t>
  </si>
  <si>
    <t>2576910JA</t>
  </si>
  <si>
    <t>2576911JA</t>
  </si>
  <si>
    <t>2576912JA</t>
  </si>
  <si>
    <t>2576913JA</t>
  </si>
  <si>
    <t>2576914JA</t>
  </si>
  <si>
    <t>2576915JA</t>
  </si>
  <si>
    <t>2576916JA</t>
  </si>
  <si>
    <t>2576917JA</t>
  </si>
  <si>
    <t>2576918JA</t>
  </si>
  <si>
    <t>2576919JA</t>
  </si>
  <si>
    <t>2576920JA</t>
  </si>
  <si>
    <t>2576921JA</t>
  </si>
  <si>
    <t>2576922JA</t>
  </si>
  <si>
    <t>2576923JA</t>
  </si>
  <si>
    <t>2576924JA</t>
  </si>
  <si>
    <t>2576925JA</t>
  </si>
  <si>
    <t>2576926JA</t>
  </si>
  <si>
    <t>2576927JA</t>
  </si>
  <si>
    <t>2576928JA</t>
  </si>
  <si>
    <t>2576929JA</t>
  </si>
  <si>
    <t>2576930JA</t>
  </si>
  <si>
    <t>2576931JA</t>
  </si>
  <si>
    <t>2576932JA</t>
  </si>
  <si>
    <t>2576933JA</t>
  </si>
  <si>
    <t>66eb0ddfe1833a6c0473b8ea80d04ab9d9cf77994b86082d9ff6f77f</t>
  </si>
  <si>
    <t>2576935JA</t>
  </si>
  <si>
    <t>2576936JA</t>
  </si>
  <si>
    <t>2576937JA</t>
  </si>
  <si>
    <t>2576938JA</t>
  </si>
  <si>
    <t>2576939JA</t>
  </si>
  <si>
    <t>2576940JA</t>
  </si>
  <si>
    <t>2576941JA</t>
  </si>
  <si>
    <t>2576942JA</t>
  </si>
  <si>
    <t>2576943JA</t>
  </si>
  <si>
    <t>2576944JA</t>
  </si>
  <si>
    <t>2576945JA</t>
  </si>
  <si>
    <t>2576946JA</t>
  </si>
  <si>
    <t>2576947JA</t>
  </si>
  <si>
    <t>2576948JA</t>
  </si>
  <si>
    <t>2576949JA</t>
  </si>
  <si>
    <t>Auto 01102024 025359</t>
  </si>
  <si>
    <t>GlobelRegFourOCT</t>
  </si>
  <si>
    <t>2576950JA</t>
  </si>
  <si>
    <t>2576951JA</t>
  </si>
  <si>
    <t>2576952JA</t>
  </si>
  <si>
    <t>2576953JA</t>
  </si>
  <si>
    <t>2576954JA</t>
  </si>
  <si>
    <t>2576955JA</t>
  </si>
  <si>
    <t>2576956JA</t>
  </si>
  <si>
    <t>2576957JA</t>
  </si>
  <si>
    <t>2576958JA</t>
  </si>
  <si>
    <t>2576959JA</t>
  </si>
  <si>
    <t>2576960JA</t>
  </si>
  <si>
    <t>2576961JA</t>
  </si>
  <si>
    <t>2576962JA</t>
  </si>
  <si>
    <t>2576963JA</t>
  </si>
  <si>
    <t>2576964JA</t>
  </si>
  <si>
    <t>06/10/2024 01:23:49 Failed</t>
  </si>
  <si>
    <t xml:space="preserve">Field not found for Class = "PageHireProposeCompensationHire" at Function = "getBasePayRange"_x000D_
Code Number = New Hire 273_x000D_
Location of Failure screenshot = D:\Workday_FailureScreenshot\Test_1_NewHire_Ireland_ 06102024 012341.png_x000D_
_x000D_
Main action error_x000D_
Code Number = New Hire 280_x000D_
Error Number = 9_x000D_
Error Message = Subscript out of range_x000D_
Error Source = Microsoft VBScript runtime error_x000D_
</t>
  </si>
  <si>
    <t>Auto 06102024 012454</t>
  </si>
  <si>
    <t>06/10/2024 01:35:20 Failed</t>
  </si>
  <si>
    <t xml:space="preserve">Field not found for Class = "PageHireProposeCompensationHire" at Function = "getBasePayRange"_x000D_
Code Number = New Hire 273_x000D_
Location of Failure screenshot = D:\Workday_FailureScreenshot\Test_2NewRoleNewHire_Ireland_ 06102024 013512.png_x000D_
_x000D_
Main action error_x000D_
Code Number = New Hire 280_x000D_
Error Number = 9_x000D_
Error Message = Subscript out of range_x000D_
Error Source = Microsoft VBScript runtime error_x000D_
</t>
  </si>
  <si>
    <t>06/10/2024 01:37:48 Failed</t>
  </si>
  <si>
    <t xml:space="preserve">Field not found for Class = "PageLogin" at Function = "waitExistsUsername"_x000D_
Code Number = Role 175_x000D_
Location of Failure screenshot = D:\Workday_FailureScreenshot\Test_3NewRoleNewHire_Ireland_ 06102024 013641.png_x000D_
_x000D_
Main action error_x000D_
Code Number = Role 175_x000D_
Main action error_x000D_
Code Number = New Hire 120_x000D_
</t>
  </si>
  <si>
    <t>Auto 06102024 013855</t>
  </si>
  <si>
    <t>06/10/2024 01:49:28 Failed</t>
  </si>
  <si>
    <t xml:space="preserve">Field not found for Class = "PageHireProposeCompensationHire" at Function = "getBasePayRange"_x000D_
Code Number = New Hire 273_x000D_
Location of Failure screenshot = D:\Workday_FailureScreenshot\Test_4NewRoleNewHire_Ireland_ 06102024 014920.png_x000D_
_x000D_
Main action error_x000D_
Code Number = New Hire 280_x000D_
Error Number = 9_x000D_
Error Message = Subscript out of range_x000D_
Error Source = Microsoft VBScript runtime error_x000D_
</t>
  </si>
  <si>
    <t>Auto 06102024 015033</t>
  </si>
  <si>
    <t>06/10/2024 02:01:14 Failed</t>
  </si>
  <si>
    <t xml:space="preserve">Field not found for Class = "PageHireProposeCompensationHire" at Function = "getBasePayRange"_x000D_
Code Number = New Hire 273_x000D_
Location of Failure screenshot = D:\Workday_FailureScreenshot\Test_5NewRoleNewHire_Ireland_ 06102024 020106.png_x000D_
_x000D_
Main action error_x000D_
Code Number = New Hire 280_x000D_
Error Number = 9_x000D_
Error Message = Subscript out of range_x000D_
Error Source = Microsoft VBScript runtime error_x000D_
</t>
  </si>
  <si>
    <t>Auto 06102024 020218</t>
  </si>
  <si>
    <t>06/10/2024 02:12:48 Failed</t>
  </si>
  <si>
    <t xml:space="preserve">Field not found for Class = "PageHireProposeCompensationHire" at Function = "getBasePayRange"_x000D_
Code Number = New Hire 273_x000D_
Location of Failure screenshot = D:\Workday_FailureScreenshot\Test_6NewRoleNewHire_Ireland_ 06102024 021240.png_x000D_
_x000D_
Main action error_x000D_
Code Number = New Hire 280_x000D_
Error Number = 9_x000D_
Error Message = Subscript out of range_x000D_
Error Source = Microsoft VBScript runtime error_x000D_
</t>
  </si>
  <si>
    <t>Auto 06102024 021353</t>
  </si>
  <si>
    <t>06/10/2024 02:24:21 Failed</t>
  </si>
  <si>
    <t xml:space="preserve">Field not found for Class = "PageHireProposeCompensationHire" at Function = "getBasePayRange"_x000D_
Code Number = New Hire 273_x000D_
Location of Failure screenshot = D:\Workday_FailureScreenshot\Test_7NewRoleNewHire_Ireland_ 06102024 022413.png_x000D_
_x000D_
Main action error_x000D_
Code Number = New Hire 280_x000D_
Error Number = 9_x000D_
Error Message = Subscript out of range_x000D_
Error Source = Microsoft VBScript runtime error_x000D_
</t>
  </si>
  <si>
    <t>06/10/2024 02:34:01 Failed</t>
  </si>
  <si>
    <t xml:space="preserve">Field not found for Class = "PageHireProposeCompensationHire" at Function = "getBasePayRange"_x000D_
Code Number = New Hire 273_x000D_
Location of Failure screenshot = D:\Workday_FailureScreenshot\Test_8_NewHire_Ireland_ 06102024 023352.png_x000D_
_x000D_
Main action error_x000D_
Code Number = New Hire 280_x000D_
Error Number = 9_x000D_
Error Message = Subscript out of range_x000D_
Error Source = Microsoft VBScript runtime error_x000D_
</t>
  </si>
  <si>
    <t>Auto 06102024 023507</t>
  </si>
  <si>
    <t>06/10/2024 02:45:46 Failed</t>
  </si>
  <si>
    <t xml:space="preserve">Field not found for Class = "PageHireProposeCompensationHire" at Function = "getBasePayRange"_x000D_
Code Number = New Hire 273_x000D_
Location of Failure screenshot = D:\Workday_FailureScreenshot\Test_9NewRoleNewHire_Ireland_ 06102024 024538.png_x000D_
_x000D_
Main action error_x000D_
Code Number = New Hire 280_x000D_
Error Number = 9_x000D_
Error Message = Subscript out of range_x000D_
Error Source = Microsoft VBScript runtime error_x000D_
</t>
  </si>
  <si>
    <t>06/10/2024 02:55:23 Failed</t>
  </si>
  <si>
    <t xml:space="preserve">Field not found for Class = "PageHireProposeCompensationHire" at Function = "getBasePayRange"_x000D_
Code Number = New Hire 273_x000D_
Location of Failure screenshot = D:\Workday_FailureScreenshot\Test_10_NewHire_Ireland_ 06102024 025515.png_x000D_
_x000D_
Main action error_x000D_
Code Number = New Hire 280_x000D_
Error Number = 9_x000D_
Error Message = Subscript out of range_x000D_
Error Source = Microsoft VBScript runtime error_x000D_
</t>
  </si>
  <si>
    <t>Auto 06102024 025627</t>
  </si>
  <si>
    <t>06/10/2024 03:06:58 Failed</t>
  </si>
  <si>
    <t xml:space="preserve">Field not found for Class = "PageHireProposeCompensationHire" at Function = "getBasePayRange"_x000D_
Code Number = New Hire 273_x000D_
Location of Failure screenshot = D:\Workday_FailureScreenshot\Test_11NewRoleNewHire_Ireland_ 06102024 030649.png_x000D_
_x000D_
Main action error_x000D_
Code Number = New Hire 280_x000D_
Error Number = 9_x000D_
Error Message = Subscript out of range_x000D_
Error Source = Microsoft VBScript runtime error_x000D_
</t>
  </si>
  <si>
    <t>Auto 06102024 030803</t>
  </si>
  <si>
    <t>06/10/2024 03:18:29 Failed</t>
  </si>
  <si>
    <t xml:space="preserve">Field not found for Class = "PageHireProposeCompensationHire" at Function = "getBasePayRange"_x000D_
Code Number = New Hire 273_x000D_
Location of Failure screenshot = D:\Workday_FailureScreenshot\Test_12NewRoleNewHire_Ireland_ 06102024 031821.png_x000D_
_x000D_
Main action error_x000D_
Code Number = New Hire 280_x000D_
Error Number = 9_x000D_
Error Message = Subscript out of range_x000D_
Error Source = Microsoft VBScript runtime error_x000D_
</t>
  </si>
  <si>
    <t>06/10/2024 03:28:11 Failed</t>
  </si>
  <si>
    <t xml:space="preserve">Field not found for Class = "PageHireProposeCompensationHire" at Function = "getBasePayRange"_x000D_
Code Number = New Hire 273_x000D_
Location of Failure screenshot = D:\Workday_FailureScreenshot\Test_13_NewHire_Ireland_ 06102024 032802.png_x000D_
_x000D_
Main action error_x000D_
Code Number = New Hire 280_x000D_
Error Number = 9_x000D_
Error Message = Subscript out of range_x000D_
Error Source = Microsoft VBScript runtime error_x000D_
</t>
  </si>
  <si>
    <t>06/10/2024 03:37:48 Failed</t>
  </si>
  <si>
    <t xml:space="preserve">Field not found for Class = "PageHireProposeCompensationHire" at Function = "getBasePayRange"_x000D_
Code Number = New Hire 273_x000D_
Location of Failure screenshot = D:\Workday_FailureScreenshot\Test_14_NewHire_Ireland_ 06102024 033740.png_x000D_
_x000D_
Main action error_x000D_
Code Number = New Hire 280_x000D_
Error Number = 9_x000D_
Error Message = Subscript out of range_x000D_
Error Source = Microsoft VBScript runtime error_x000D_
</t>
  </si>
  <si>
    <t>06/10/2024 03:47:28 Failed</t>
  </si>
  <si>
    <t xml:space="preserve">Field not found for Class = "PageHireProposeCompensationHire" at Function = "getBasePayRange"_x000D_
Code Number = New Hire 273_x000D_
Location of Failure screenshot = D:\Workday_FailureScreenshot\Test_15_NewHire_Ireland_ 06102024 034720.png_x000D_
_x000D_
Main action error_x000D_
Code Number = New Hire 280_x000D_
Error Number = 9_x000D_
Error Message = Subscript out of range_x000D_
Error Source = Microsoft VBScript runtime error_x000D_
</t>
  </si>
  <si>
    <t>2576965JA</t>
  </si>
  <si>
    <t>2576966JA</t>
  </si>
  <si>
    <t>2576967JA</t>
  </si>
  <si>
    <t>2576968JA</t>
  </si>
  <si>
    <t>2576969JA</t>
  </si>
  <si>
    <t>2576970JA</t>
  </si>
  <si>
    <t>2576971JA</t>
  </si>
  <si>
    <t>2576972JA</t>
  </si>
  <si>
    <t>2576973JA</t>
  </si>
  <si>
    <t>2576974JA</t>
  </si>
  <si>
    <t>2576975JA</t>
  </si>
  <si>
    <t>2576976JA</t>
  </si>
  <si>
    <t>2576977JA</t>
  </si>
  <si>
    <t>2576978JA</t>
  </si>
  <si>
    <t>2576979JA</t>
  </si>
  <si>
    <t>2576988JA</t>
  </si>
  <si>
    <t>2576989JA</t>
  </si>
  <si>
    <t>2576990JA</t>
  </si>
  <si>
    <t>2576991JA</t>
  </si>
  <si>
    <t>2576992JA</t>
  </si>
  <si>
    <t>2576993JA</t>
  </si>
  <si>
    <t>2576994JA</t>
  </si>
  <si>
    <t>2576995JA</t>
  </si>
  <si>
    <t>2576996JA</t>
  </si>
  <si>
    <t>2576997JA</t>
  </si>
  <si>
    <t>2576998JA</t>
  </si>
  <si>
    <t>2576999JA</t>
  </si>
  <si>
    <t>2577000JA</t>
  </si>
  <si>
    <t>2577001JA</t>
  </si>
  <si>
    <t>2577002JA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</si>
</sst>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2"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theme="9" tint="-0.249977111117893"/>
      <name val="Calibri"/>
      <family val="2"/>
      <scheme val="minor"/>
    </font>
    <font>
      <sz val="11"/>
      <color rgb="FF4A4A4A"/>
      <name val="Calibri"/>
      <family val="2"/>
      <scheme val="minor"/>
    </font>
    <font>
      <sz val="11"/>
      <color rgb="FFFF0000"/>
      <name val="Calibri"/>
      <family val="2"/>
      <scheme val="minor"/>
    </font>
    <font>
      <b/>
      <sz val="10"/>
      <color rgb="FFFF0000"/>
      <name val="Calibri"/>
      <family val="2"/>
    </font>
    <font>
      <sz val="1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7" tint="0.59999389629810485"/>
        <bgColor indexed="64"/>
      </patternFill>
    </fill>
  </fills>
  <borders count="5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0" fontId="2" fillId="0" borderId="0"/>
    <xf numFmtId="0" fontId="12" fillId="0" borderId="0" applyNumberFormat="0" applyFill="0" applyBorder="0" applyAlignment="0" applyProtection="0"/>
  </cellStyleXfs>
  <cellXfs count="237">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1"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3" borderId="1" xfId="0" applyFill="1" applyBorder="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33"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1" fillId="3" borderId="21" xfId="0" applyFont="1" applyFill="1" applyBorder="1" applyAlignment="1">
      <alignment horizontal="center" vertical="center"/>
    </xf>
    <xf numFmtId="0" fontId="0" fillId="3" borderId="7" xfId="0" applyFill="1" applyBorder="1" applyAlignment="1">
      <alignment horizontal="left"/>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0" fillId="3" borderId="6" xfId="0" applyFill="1" applyBorder="1" applyAlignment="1">
      <alignment horizontal="left"/>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0" fillId="8" borderId="1" xfId="0" applyFill="1" applyBorder="1"/>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0" fontId="0" fillId="0" borderId="1" xfId="0" applyBorder="1" applyAlignment="1">
      <alignment horizontal="left"/>
    </xf>
    <xf numFmtId="0" fontId="11" fillId="0" borderId="0" xfId="0" applyFont="1"/>
    <xf numFmtId="0" fontId="0" fillId="9" borderId="0" xfId="0" applyFill="1"/>
    <xf numFmtId="0" fontId="12" fillId="0" borderId="1" xfId="2" applyFill="1" applyBorder="1" applyProtection="1">
      <protection locked="0"/>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0" borderId="20" xfId="0" applyBorder="1" applyAlignment="1">
      <alignment horizontal="center" vertical="center"/>
    </xf>
    <xf numFmtId="0" fontId="14" fillId="0" borderId="0" xfId="0" applyFont="1"/>
    <xf numFmtId="0" fontId="15" fillId="10" borderId="57" xfId="0" applyFont="1" applyFill="1" applyBorder="1" applyAlignment="1">
      <alignment horizontal="center" vertical="center" wrapText="1"/>
    </xf>
    <xf numFmtId="0" fontId="16" fillId="11" borderId="57" xfId="0" applyFont="1" applyFill="1" applyBorder="1" applyAlignment="1">
      <alignment vertical="center" wrapText="1"/>
    </xf>
    <xf numFmtId="0" fontId="16" fillId="11" borderId="57" xfId="0" applyFont="1" applyFill="1" applyBorder="1" applyAlignment="1">
      <alignment horizontal="left" vertical="center" wrapText="1"/>
    </xf>
    <xf numFmtId="0" fontId="16" fillId="11" borderId="0" xfId="0" applyFont="1" applyFill="1" applyAlignment="1">
      <alignment vertical="center" wrapText="1"/>
    </xf>
    <xf numFmtId="0" fontId="16" fillId="11" borderId="0" xfId="0" applyFont="1" applyFill="1" applyAlignment="1">
      <alignment horizontal="left" vertical="center" wrapText="1"/>
    </xf>
    <xf numFmtId="164" fontId="14" fillId="0" borderId="0" xfId="0" applyNumberFormat="1" applyFont="1" applyAlignment="1" applyProtection="1">
      <alignment horizontal="left"/>
      <protection locked="0"/>
    </xf>
    <xf numFmtId="0" fontId="16" fillId="11" borderId="58" xfId="0" applyFont="1" applyFill="1" applyBorder="1" applyAlignment="1">
      <alignment horizontal="left" vertical="center" wrapText="1"/>
    </xf>
    <xf numFmtId="0" fontId="17" fillId="0" borderId="0" xfId="0" applyFont="1" applyAlignment="1">
      <alignment vertical="center"/>
    </xf>
    <xf numFmtId="0" fontId="0" fillId="2" borderId="5" xfId="0" applyFill="1" applyBorder="1" applyAlignment="1">
      <alignment horizontal="left"/>
    </xf>
    <xf numFmtId="0" fontId="0" fillId="2" borderId="23" xfId="0" applyFill="1" applyBorder="1" applyAlignment="1">
      <alignment horizontal="left"/>
    </xf>
    <xf numFmtId="0" fontId="0" fillId="2" borderId="54" xfId="0" applyFill="1" applyBorder="1"/>
    <xf numFmtId="0" fontId="4" fillId="2" borderId="32" xfId="0" applyFont="1" applyFill="1" applyBorder="1" applyAlignment="1">
      <alignment horizontal="center" vertical="center"/>
    </xf>
    <xf numFmtId="0" fontId="4" fillId="2" borderId="11" xfId="0" applyFont="1" applyFill="1" applyBorder="1" applyAlignment="1">
      <alignment horizontal="center" vertical="center"/>
    </xf>
    <xf numFmtId="0" fontId="0" fillId="2" borderId="1" xfId="0" applyFill="1" applyBorder="1" applyAlignment="1">
      <alignment horizontal="left"/>
    </xf>
    <xf numFmtId="0" fontId="0" fillId="3" borderId="44" xfId="0" applyFill="1" applyBorder="1"/>
    <xf numFmtId="0" fontId="4" fillId="2" borderId="56" xfId="0" applyFont="1" applyFill="1" applyBorder="1" applyAlignment="1">
      <alignment horizontal="center" vertical="center"/>
    </xf>
    <xf numFmtId="0" fontId="0" fillId="2" borderId="1" xfId="0" applyFill="1" applyBorder="1"/>
    <xf numFmtId="0" fontId="0" fillId="2" borderId="1" xfId="0" applyFill="1" applyBorder="1" applyAlignment="1" applyProtection="1">
      <alignment horizontal="left"/>
      <protection locked="0"/>
    </xf>
    <xf numFmtId="0" fontId="0" fillId="2" borderId="17" xfId="0" applyFill="1" applyBorder="1"/>
    <xf numFmtId="0" fontId="0" fillId="12" borderId="7" xfId="0" applyFill="1" applyBorder="1" applyAlignment="1">
      <alignment horizontal="left"/>
    </xf>
    <xf numFmtId="0" fontId="4" fillId="2" borderId="11" xfId="0" applyFont="1" applyFill="1" applyBorder="1" applyAlignment="1">
      <alignment horizontal="left" vertical="center"/>
    </xf>
    <xf numFmtId="0" fontId="19" fillId="2" borderId="5" xfId="0" applyFont="1" applyFill="1" applyBorder="1" applyAlignment="1">
      <alignment horizontal="left"/>
    </xf>
    <xf numFmtId="0" fontId="19" fillId="2" borderId="23" xfId="0" applyFont="1" applyFill="1" applyBorder="1" applyAlignment="1">
      <alignment horizontal="left"/>
    </xf>
    <xf numFmtId="0" fontId="19" fillId="2" borderId="54" xfId="0" applyFont="1" applyFill="1" applyBorder="1"/>
    <xf numFmtId="0" fontId="20" fillId="2" borderId="32" xfId="0" applyFont="1" applyFill="1" applyBorder="1" applyAlignment="1">
      <alignment horizontal="center" vertical="center"/>
    </xf>
    <xf numFmtId="0" fontId="20" fillId="2" borderId="11" xfId="0" applyFont="1" applyFill="1" applyBorder="1" applyAlignment="1">
      <alignment horizontal="center" vertical="center" wrapText="1"/>
    </xf>
    <xf numFmtId="0" fontId="19" fillId="2" borderId="0" xfId="0" applyFont="1" applyFill="1"/>
    <xf numFmtId="0" fontId="3" fillId="2" borderId="1" xfId="0" applyFont="1" applyFill="1" applyBorder="1"/>
    <xf numFmtId="0" fontId="0" fillId="13" borderId="1" xfId="0" applyFill="1" applyBorder="1"/>
    <xf numFmtId="14" fontId="0" fillId="0" borderId="0" xfId="0" quotePrefix="1" applyNumberFormat="1" applyAlignment="1">
      <alignment horizontal="left"/>
    </xf>
    <xf numFmtId="0" fontId="0" fillId="0" borderId="1" xfId="0" applyBorder="1" applyProtection="1">
      <protection locked="0"/>
    </xf>
    <xf numFmtId="0" fontId="0" fillId="0" borderId="1" xfId="0" quotePrefix="1" applyBorder="1" applyAlignment="1" applyProtection="1">
      <alignment horizontal="left"/>
      <protection locked="0"/>
    </xf>
    <xf numFmtId="14" fontId="0" fillId="0" borderId="1" xfId="0" applyNumberFormat="1" applyBorder="1" applyAlignment="1">
      <alignment horizontal="left"/>
    </xf>
    <xf numFmtId="0" fontId="18" fillId="0" borderId="1" xfId="0" applyFont="1" applyBorder="1"/>
    <xf numFmtId="0" fontId="0" fillId="0" borderId="1" xfId="0" quotePrefix="1" applyBorder="1" applyAlignment="1">
      <alignment horizontal="left"/>
    </xf>
    <xf numFmtId="0" fontId="0" fillId="0" borderId="1" xfId="0" applyBorder="1" applyAlignment="1" applyProtection="1">
      <alignment horizontal="left" wrapText="1"/>
      <protection locked="0"/>
    </xf>
    <xf numFmtId="14" fontId="19" fillId="0" borderId="0" xfId="0" applyNumberFormat="1" applyFont="1" applyAlignment="1">
      <alignment horizontal="left"/>
    </xf>
    <xf numFmtId="0" fontId="0" fillId="0" borderId="0" xfId="0" quotePrefix="1"/>
    <xf numFmtId="0" fontId="0" fillId="0" borderId="0" xfId="0" quotePrefix="1" applyAlignment="1">
      <alignment horizontal="left"/>
    </xf>
    <xf numFmtId="0" fontId="19" fillId="3" borderId="7" xfId="0" applyFont="1" applyFill="1" applyBorder="1" applyAlignment="1">
      <alignment horizontal="left"/>
    </xf>
    <xf numFmtId="14" fontId="19" fillId="0" borderId="0" xfId="0" quotePrefix="1" applyNumberFormat="1" applyFont="1" applyAlignment="1">
      <alignment horizontal="left"/>
    </xf>
    <xf numFmtId="0" fontId="21" fillId="13" borderId="1" xfId="0" applyFont="1" applyFill="1" applyBorder="1" applyAlignment="1" applyProtection="1">
      <alignment horizontal="left"/>
      <protection locked="0"/>
    </xf>
    <xf numFmtId="0" fontId="0" fillId="0" borderId="5" xfId="0" applyBorder="1" applyAlignment="1">
      <alignment horizontal="left"/>
    </xf>
    <xf numFmtId="0" fontId="0" fillId="0" borderId="23" xfId="0" applyBorder="1" applyAlignment="1">
      <alignment horizontal="left"/>
    </xf>
    <xf numFmtId="0" fontId="0" fillId="0" borderId="54" xfId="0" applyBorder="1"/>
    <xf numFmtId="0" fontId="4" fillId="0" borderId="32" xfId="0" applyFont="1" applyBorder="1" applyAlignment="1">
      <alignment horizontal="center" vertical="center"/>
    </xf>
    <xf numFmtId="0" fontId="4" fillId="0" borderId="11" xfId="0" applyFont="1" applyBorder="1" applyAlignment="1">
      <alignment horizontal="center" vertical="center"/>
    </xf>
    <xf numFmtId="0" fontId="0" fillId="13" borderId="0" xfId="0" applyFill="1" applyAlignment="1">
      <alignment horizontal="left"/>
    </xf>
    <xf numFmtId="0" fontId="0" fillId="0" borderId="44" xfId="0" applyBorder="1" applyAlignment="1">
      <alignment horizontal="left"/>
    </xf>
    <xf numFmtId="0" fontId="0" fillId="13" borderId="7" xfId="0" applyFill="1" applyBorder="1" applyAlignment="1">
      <alignment horizontal="left"/>
    </xf>
    <xf numFmtId="0" fontId="19" fillId="14" borderId="5" xfId="0" applyFont="1" applyFill="1" applyBorder="1" applyAlignment="1">
      <alignment horizontal="left"/>
    </xf>
    <xf numFmtId="0" fontId="19" fillId="14" borderId="23" xfId="0" applyFont="1" applyFill="1" applyBorder="1" applyAlignment="1">
      <alignment horizontal="left"/>
    </xf>
    <xf numFmtId="0" fontId="19" fillId="14" borderId="54" xfId="0" applyFont="1" applyFill="1" applyBorder="1"/>
    <xf numFmtId="0" fontId="20" fillId="14" borderId="32" xfId="0" applyFont="1" applyFill="1" applyBorder="1" applyAlignment="1">
      <alignment horizontal="center" vertical="center"/>
    </xf>
    <xf numFmtId="0" fontId="20" fillId="14" borderId="56" xfId="0" applyFont="1" applyFill="1" applyBorder="1" applyAlignment="1">
      <alignment horizontal="center" vertical="center"/>
    </xf>
    <xf numFmtId="0" fontId="19" fillId="0" borderId="1" xfId="0" applyFont="1" applyBorder="1" applyAlignment="1" applyProtection="1">
      <alignment horizontal="left"/>
      <protection locked="0"/>
    </xf>
    <xf numFmtId="0" fontId="19" fillId="14" borderId="0" xfId="0" applyFont="1" applyFill="1"/>
    <xf numFmtId="0" fontId="6" fillId="3" borderId="7" xfId="0" applyFont="1" applyFill="1" applyBorder="1" applyAlignment="1" applyProtection="1">
      <alignment horizontal="center"/>
      <protection locked="0"/>
    </xf>
    <xf numFmtId="14" fontId="0" fillId="0" borderId="0" xfId="0" applyNumberFormat="1"/>
    <xf numFmtId="17" fontId="0" fillId="0" borderId="0" xfId="0" applyNumberFormat="1"/>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printerSettings" Target="../printerSettings/printerSettings6.bin"/><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31" t="s">
        <v>0</v>
      </c>
      <c r="B1" s="232"/>
      <c r="C1" s="233"/>
      <c r="F1" s="231" t="s">
        <v>1</v>
      </c>
      <c r="G1" s="233"/>
    </row>
    <row r="2" spans="1:7" ht="15" thickBot="1" x14ac:dyDescent="0.4">
      <c r="A2" s="234"/>
      <c r="B2" s="235"/>
      <c r="C2" s="236"/>
      <c r="F2" s="234"/>
      <c r="G2" s="236"/>
    </row>
    <row r="5" spans="1:7" ht="15" thickBot="1" x14ac:dyDescent="0.4"/>
    <row r="6" spans="1:7" ht="19" thickBot="1" x14ac:dyDescent="0.5">
      <c r="A6" s="37" t="s">
        <v>0</v>
      </c>
      <c r="B6" s="48" t="s">
        <v>2</v>
      </c>
      <c r="F6" s="46" t="s">
        <v>1</v>
      </c>
    </row>
    <row r="7" spans="1:7" ht="15" thickBot="1" x14ac:dyDescent="0.4">
      <c r="F7" s="58" t="s">
        <v>3</v>
      </c>
      <c r="G7" s="59" t="s">
        <v>4</v>
      </c>
    </row>
    <row r="8" spans="1:7" ht="19" thickBot="1" x14ac:dyDescent="0.5">
      <c r="A8" s="38" t="s">
        <v>5</v>
      </c>
      <c r="F8" s="54" t="s">
        <v>6</v>
      </c>
      <c r="G8" s="53" t="s">
        <v>7</v>
      </c>
    </row>
    <row r="9" spans="1:7" ht="15" thickBot="1" x14ac:dyDescent="0.4">
      <c r="A9" s="6" t="s">
        <v>8</v>
      </c>
      <c r="B9" s="64" t="s">
        <v>0</v>
      </c>
      <c r="C9" s="63" t="s">
        <v>9</v>
      </c>
      <c r="F9" s="54" t="s">
        <v>10</v>
      </c>
      <c r="G9" s="53" t="s">
        <v>11</v>
      </c>
    </row>
    <row r="10" spans="1:7" x14ac:dyDescent="0.35">
      <c r="A10" s="51">
        <v>44061</v>
      </c>
      <c r="B10" s="49" t="s">
        <v>2</v>
      </c>
      <c r="C10" s="52" t="s">
        <v>12</v>
      </c>
      <c r="F10" s="54" t="s">
        <v>13</v>
      </c>
      <c r="G10" s="53" t="s">
        <v>14</v>
      </c>
    </row>
    <row r="11" spans="1:7" ht="29" x14ac:dyDescent="0.35">
      <c r="A11" s="51"/>
      <c r="B11" s="50"/>
      <c r="C11" s="53"/>
      <c r="F11" s="61" t="s">
        <v>15</v>
      </c>
      <c r="G11" s="60" t="s">
        <v>16</v>
      </c>
    </row>
    <row r="12" spans="1:7" ht="15" thickBot="1" x14ac:dyDescent="0.4">
      <c r="A12" s="51"/>
      <c r="B12" s="50"/>
      <c r="C12" s="60"/>
      <c r="F12" s="55"/>
      <c r="G12" s="57"/>
    </row>
    <row r="13" spans="1:7" x14ac:dyDescent="0.35">
      <c r="A13" s="62"/>
      <c r="B13" s="50"/>
      <c r="C13" s="60"/>
    </row>
    <row r="14" spans="1:7" x14ac:dyDescent="0.35">
      <c r="A14" s="62"/>
      <c r="B14" s="50"/>
      <c r="C14" s="60"/>
    </row>
    <row r="15" spans="1:7" x14ac:dyDescent="0.35">
      <c r="A15" s="62"/>
      <c r="B15" s="50"/>
      <c r="C15" s="60"/>
    </row>
    <row r="16" spans="1:7" x14ac:dyDescent="0.35">
      <c r="A16" s="62"/>
      <c r="B16" s="50"/>
      <c r="C16" s="60"/>
    </row>
    <row r="17" spans="1:3" x14ac:dyDescent="0.35">
      <c r="A17" s="54"/>
      <c r="B17" s="45"/>
      <c r="C17" s="53"/>
    </row>
    <row r="18" spans="1:3" x14ac:dyDescent="0.35">
      <c r="A18" s="54"/>
      <c r="B18" s="45"/>
      <c r="C18" s="53"/>
    </row>
    <row r="19" spans="1:3" x14ac:dyDescent="0.35">
      <c r="A19" s="54"/>
      <c r="B19" s="45"/>
      <c r="C19" s="53"/>
    </row>
    <row r="20" spans="1:3" x14ac:dyDescent="0.35">
      <c r="A20" s="54"/>
      <c r="B20" s="45"/>
      <c r="C20" s="53"/>
    </row>
    <row r="21" spans="1:3" x14ac:dyDescent="0.35">
      <c r="A21" s="54"/>
      <c r="B21" s="45"/>
      <c r="C21" s="53"/>
    </row>
    <row r="22" spans="1:3" x14ac:dyDescent="0.35">
      <c r="A22" s="54"/>
      <c r="B22" s="45"/>
      <c r="C22" s="53"/>
    </row>
    <row r="23" spans="1:3" x14ac:dyDescent="0.35">
      <c r="A23" s="54"/>
      <c r="B23" s="45"/>
      <c r="C23" s="53"/>
    </row>
    <row r="24" spans="1:3" x14ac:dyDescent="0.35">
      <c r="A24" s="54"/>
      <c r="B24" s="45"/>
      <c r="C24" s="53"/>
    </row>
    <row r="25" spans="1:3" x14ac:dyDescent="0.35">
      <c r="A25" s="54"/>
      <c r="B25" s="45"/>
      <c r="C25" s="53"/>
    </row>
    <row r="26" spans="1:3" ht="15" thickBot="1" x14ac:dyDescent="0.4">
      <c r="A26" s="55"/>
      <c r="B26" s="56"/>
      <c r="C26" s="57"/>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73"/>
    <col min="5" max="5" width="28.453125" customWidth="1"/>
    <col min="6" max="7" width="9.1796875" style="73"/>
    <col min="8" max="8" width="28.453125" style="73" customWidth="1"/>
    <col min="9" max="9" width="9.1796875" style="73"/>
    <col min="11" max="11" width="43.1796875" customWidth="1"/>
    <col min="12" max="12" width="13" style="73" customWidth="1"/>
    <col min="13" max="13" width="9.1796875" style="73"/>
  </cols>
  <sheetData>
    <row r="2" spans="2:13" ht="21.5" thickBot="1" x14ac:dyDescent="0.55000000000000004">
      <c r="B2" s="78" t="s">
        <v>192</v>
      </c>
      <c r="C2" s="79"/>
      <c r="D2" s="80"/>
      <c r="E2" s="78" t="s">
        <v>193</v>
      </c>
      <c r="F2" s="79"/>
      <c r="G2" s="79"/>
      <c r="H2" s="78" t="s">
        <v>194</v>
      </c>
      <c r="I2" s="79"/>
      <c r="K2" s="74" t="s">
        <v>195</v>
      </c>
      <c r="L2" s="75"/>
      <c r="M2" s="75"/>
    </row>
    <row r="3" spans="2:13" ht="15" thickBot="1" x14ac:dyDescent="0.4">
      <c r="B3" s="81" t="s">
        <v>196</v>
      </c>
      <c r="C3" s="82" t="s">
        <v>197</v>
      </c>
      <c r="D3" s="83"/>
      <c r="E3" s="84" t="s">
        <v>196</v>
      </c>
      <c r="F3" s="85" t="s">
        <v>197</v>
      </c>
      <c r="G3" s="111"/>
      <c r="H3" s="84" t="s">
        <v>196</v>
      </c>
      <c r="I3" s="85" t="s">
        <v>197</v>
      </c>
      <c r="K3" s="96" t="s">
        <v>196</v>
      </c>
      <c r="L3" s="97" t="s">
        <v>198</v>
      </c>
      <c r="M3" s="77" t="s">
        <v>199</v>
      </c>
    </row>
    <row r="4" spans="2:13" x14ac:dyDescent="0.35">
      <c r="B4" s="86" t="s">
        <v>200</v>
      </c>
      <c r="C4" s="87">
        <v>35</v>
      </c>
      <c r="D4" s="80"/>
      <c r="E4" s="86" t="s">
        <v>200</v>
      </c>
      <c r="F4" s="87">
        <v>141</v>
      </c>
      <c r="G4" s="79"/>
      <c r="H4" s="86" t="s">
        <v>200</v>
      </c>
      <c r="I4" s="87">
        <v>0</v>
      </c>
      <c r="K4" s="105" t="s">
        <v>200</v>
      </c>
      <c r="L4" s="102">
        <f>C4+F4+I4</f>
        <v>176</v>
      </c>
      <c r="M4" s="101">
        <f>L4/L8*100</f>
        <v>72.131147540983605</v>
      </c>
    </row>
    <row r="5" spans="2:13" x14ac:dyDescent="0.35">
      <c r="B5" s="88" t="s">
        <v>201</v>
      </c>
      <c r="C5" s="89">
        <v>17</v>
      </c>
      <c r="D5" s="80"/>
      <c r="E5" s="88" t="s">
        <v>201</v>
      </c>
      <c r="F5" s="89">
        <v>27</v>
      </c>
      <c r="G5" s="79"/>
      <c r="H5" s="88" t="s">
        <v>201</v>
      </c>
      <c r="I5" s="89">
        <v>24</v>
      </c>
      <c r="K5" s="106" t="s">
        <v>201</v>
      </c>
      <c r="L5" s="103">
        <f>C5+F5+I5</f>
        <v>68</v>
      </c>
      <c r="M5" s="95">
        <f>L5/L8*100</f>
        <v>27.868852459016392</v>
      </c>
    </row>
    <row r="6" spans="2:13" x14ac:dyDescent="0.35">
      <c r="B6" s="88" t="s">
        <v>202</v>
      </c>
      <c r="C6" s="89">
        <v>0</v>
      </c>
      <c r="D6" s="80"/>
      <c r="E6" s="88" t="s">
        <v>202</v>
      </c>
      <c r="F6" s="89">
        <v>0</v>
      </c>
      <c r="G6" s="79"/>
      <c r="H6" s="88" t="s">
        <v>202</v>
      </c>
      <c r="I6" s="89">
        <v>0</v>
      </c>
      <c r="K6" s="106" t="s">
        <v>202</v>
      </c>
      <c r="L6" s="104">
        <f>C6+F6+I6</f>
        <v>0</v>
      </c>
      <c r="M6" s="98">
        <f>L6/L8*100</f>
        <v>0</v>
      </c>
    </row>
    <row r="7" spans="2:13" ht="15" thickBot="1" x14ac:dyDescent="0.4">
      <c r="B7" s="90" t="s">
        <v>203</v>
      </c>
      <c r="C7" s="91">
        <v>52</v>
      </c>
      <c r="D7" s="80"/>
      <c r="E7" s="90" t="s">
        <v>203</v>
      </c>
      <c r="F7" s="91">
        <v>168</v>
      </c>
      <c r="G7" s="79"/>
      <c r="H7" s="90" t="s">
        <v>203</v>
      </c>
      <c r="I7" s="91">
        <v>24</v>
      </c>
      <c r="K7" s="107" t="s">
        <v>203</v>
      </c>
      <c r="L7" s="108">
        <f>C7+F7+I7</f>
        <v>244</v>
      </c>
      <c r="M7" s="99">
        <f>L7/L8*100</f>
        <v>100</v>
      </c>
    </row>
    <row r="8" spans="2:13" ht="15" thickBot="1" x14ac:dyDescent="0.4">
      <c r="B8" s="84" t="s">
        <v>197</v>
      </c>
      <c r="C8" s="85">
        <v>52</v>
      </c>
      <c r="D8" s="83"/>
      <c r="E8" s="84" t="s">
        <v>197</v>
      </c>
      <c r="F8" s="85">
        <v>168</v>
      </c>
      <c r="G8" s="111"/>
      <c r="H8" s="84" t="s">
        <v>197</v>
      </c>
      <c r="I8" s="85">
        <v>24</v>
      </c>
      <c r="K8" s="109" t="s">
        <v>197</v>
      </c>
      <c r="L8" s="110">
        <f>C8+F8+I8</f>
        <v>244</v>
      </c>
      <c r="M8" s="100">
        <f>M4+M5+M6</f>
        <v>100</v>
      </c>
    </row>
    <row r="9" spans="2:13" x14ac:dyDescent="0.35">
      <c r="B9" s="80"/>
      <c r="C9" s="79"/>
      <c r="D9" s="80"/>
      <c r="E9" s="80"/>
      <c r="F9" s="79"/>
      <c r="G9" s="79"/>
      <c r="H9" s="80"/>
      <c r="I9" s="79"/>
      <c r="K9" s="76"/>
      <c r="L9" s="75"/>
      <c r="M9" s="75"/>
    </row>
    <row r="10" spans="2:13" ht="21.5" thickBot="1" x14ac:dyDescent="0.55000000000000004">
      <c r="B10" s="78" t="s">
        <v>204</v>
      </c>
      <c r="C10" s="79"/>
      <c r="D10" s="80"/>
      <c r="E10" s="78" t="s">
        <v>205</v>
      </c>
      <c r="F10" s="79"/>
      <c r="G10" s="79"/>
      <c r="H10" s="78" t="s">
        <v>206</v>
      </c>
      <c r="I10" s="79"/>
      <c r="K10" s="74" t="s">
        <v>207</v>
      </c>
      <c r="L10" s="75"/>
      <c r="M10" s="75"/>
    </row>
    <row r="11" spans="2:13" ht="15" thickBot="1" x14ac:dyDescent="0.4">
      <c r="B11" s="84" t="s">
        <v>208</v>
      </c>
      <c r="C11" s="85" t="s">
        <v>197</v>
      </c>
      <c r="D11" s="80"/>
      <c r="E11" s="81" t="s">
        <v>208</v>
      </c>
      <c r="F11" s="82" t="s">
        <v>197</v>
      </c>
      <c r="G11" s="111"/>
      <c r="H11" s="84" t="s">
        <v>208</v>
      </c>
      <c r="I11" s="85" t="s">
        <v>197</v>
      </c>
      <c r="K11" s="96" t="s">
        <v>208</v>
      </c>
      <c r="L11" s="97" t="s">
        <v>198</v>
      </c>
      <c r="M11" s="77" t="s">
        <v>199</v>
      </c>
    </row>
    <row r="12" spans="2:13" ht="44" thickBot="1" x14ac:dyDescent="0.4">
      <c r="B12" s="92" t="s">
        <v>209</v>
      </c>
      <c r="C12" s="93">
        <v>12</v>
      </c>
      <c r="D12" s="80"/>
      <c r="E12" s="114" t="s">
        <v>210</v>
      </c>
      <c r="F12" s="87">
        <v>24</v>
      </c>
      <c r="G12" s="79"/>
      <c r="H12" s="92" t="s">
        <v>211</v>
      </c>
      <c r="I12" s="93">
        <v>24</v>
      </c>
      <c r="K12" s="119" t="s">
        <v>212</v>
      </c>
      <c r="L12" s="102">
        <v>44</v>
      </c>
      <c r="M12" s="101">
        <f>L12/L17*100</f>
        <v>35.199999999999996</v>
      </c>
    </row>
    <row r="13" spans="2:13" ht="29.5" thickBot="1" x14ac:dyDescent="0.4">
      <c r="B13" s="94" t="s">
        <v>213</v>
      </c>
      <c r="C13" s="89">
        <v>5</v>
      </c>
      <c r="D13" s="80"/>
      <c r="E13" s="116" t="s">
        <v>214</v>
      </c>
      <c r="F13" s="115">
        <v>3</v>
      </c>
      <c r="G13" s="111"/>
      <c r="H13" s="84" t="s">
        <v>197</v>
      </c>
      <c r="I13" s="85">
        <v>24</v>
      </c>
      <c r="K13" s="120" t="s">
        <v>215</v>
      </c>
      <c r="L13" s="103">
        <v>20</v>
      </c>
      <c r="M13" s="98">
        <f>L13/L17*100</f>
        <v>16</v>
      </c>
    </row>
    <row r="14" spans="2:13" ht="29.5" thickBot="1" x14ac:dyDescent="0.4">
      <c r="B14" s="84" t="s">
        <v>197</v>
      </c>
      <c r="C14" s="85">
        <f>C12+C13</f>
        <v>17</v>
      </c>
      <c r="D14" s="80"/>
      <c r="E14" s="112" t="s">
        <v>197</v>
      </c>
      <c r="F14" s="113">
        <v>27</v>
      </c>
      <c r="G14" s="79"/>
      <c r="H14" s="79"/>
      <c r="I14" s="79"/>
      <c r="K14" s="121" t="s">
        <v>210</v>
      </c>
      <c r="L14" s="117">
        <v>34</v>
      </c>
      <c r="M14" s="99">
        <f>L14/L17*100</f>
        <v>27.200000000000003</v>
      </c>
    </row>
    <row r="15" spans="2:13" x14ac:dyDescent="0.35">
      <c r="D15" s="80"/>
      <c r="E15" s="80"/>
      <c r="F15" s="79"/>
      <c r="G15" s="79"/>
      <c r="H15" s="79"/>
      <c r="I15" s="79"/>
      <c r="K15" s="120" t="s">
        <v>211</v>
      </c>
      <c r="L15" s="104">
        <v>24</v>
      </c>
      <c r="M15" s="99">
        <f>L15/L17*100</f>
        <v>19.2</v>
      </c>
    </row>
    <row r="16" spans="2:13" ht="15" thickBot="1" x14ac:dyDescent="0.4">
      <c r="K16" s="107" t="s">
        <v>214</v>
      </c>
      <c r="L16" s="118">
        <v>3</v>
      </c>
      <c r="M16" s="99">
        <f>L16/L17*100</f>
        <v>2.4</v>
      </c>
    </row>
    <row r="17" spans="11:13" ht="15" thickBot="1" x14ac:dyDescent="0.4">
      <c r="K17" s="109" t="s">
        <v>197</v>
      </c>
      <c r="L17" s="110">
        <f>SUM(L12:L16)</f>
        <v>125</v>
      </c>
      <c r="M17" s="100">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63" bestFit="1" customWidth="1"/>
    <col min="45" max="45" width="41.54296875" style="163" bestFit="1" customWidth="1"/>
    <col min="46" max="47" width="8.54296875" style="163"/>
    <col min="48" max="48" width="18.54296875" style="163" customWidth="1"/>
    <col min="49" max="49" width="34.54296875" customWidth="1"/>
    <col min="50" max="50" width="31.1796875" customWidth="1"/>
  </cols>
  <sheetData>
    <row r="1" spans="1:50" ht="15" thickBot="1" x14ac:dyDescent="0.4">
      <c r="A1" s="3" t="s">
        <v>28</v>
      </c>
      <c r="B1" s="6" t="s">
        <v>34</v>
      </c>
      <c r="C1" s="3" t="s">
        <v>79</v>
      </c>
      <c r="D1" s="20" t="s">
        <v>82</v>
      </c>
      <c r="E1" s="21" t="s">
        <v>216</v>
      </c>
      <c r="F1" s="45" t="s">
        <v>90</v>
      </c>
      <c r="G1" s="45" t="s">
        <v>93</v>
      </c>
      <c r="H1" s="45" t="s">
        <v>102</v>
      </c>
      <c r="I1" s="45" t="s">
        <v>109</v>
      </c>
      <c r="J1" s="45" t="s">
        <v>112</v>
      </c>
      <c r="K1" s="45" t="s">
        <v>114</v>
      </c>
      <c r="L1" s="45" t="s">
        <v>116</v>
      </c>
      <c r="M1" s="45" t="s">
        <v>119</v>
      </c>
      <c r="N1" s="45" t="s">
        <v>124</v>
      </c>
      <c r="O1" s="45" t="s">
        <v>131</v>
      </c>
      <c r="P1" s="45" t="s">
        <v>135</v>
      </c>
      <c r="Q1" s="45" t="s">
        <v>140</v>
      </c>
      <c r="R1" s="25" t="s">
        <v>145</v>
      </c>
      <c r="S1" s="40" t="s">
        <v>153</v>
      </c>
      <c r="T1" s="45" t="s">
        <v>155</v>
      </c>
      <c r="U1" s="45" t="s">
        <v>217</v>
      </c>
      <c r="V1" s="45" t="s">
        <v>218</v>
      </c>
      <c r="W1" s="45" t="s">
        <v>219</v>
      </c>
      <c r="X1" s="45" t="s">
        <v>162</v>
      </c>
      <c r="Y1" s="45" t="s">
        <v>164</v>
      </c>
      <c r="Z1" s="45" t="s">
        <v>165</v>
      </c>
      <c r="AA1" s="45" t="s">
        <v>220</v>
      </c>
      <c r="AB1" s="45" t="s">
        <v>221</v>
      </c>
      <c r="AC1" s="45" t="s">
        <v>222</v>
      </c>
      <c r="AD1" t="s">
        <v>223</v>
      </c>
      <c r="AE1" s="34" t="s">
        <v>224</v>
      </c>
      <c r="AF1" s="34" t="s">
        <v>225</v>
      </c>
      <c r="AG1" s="29" t="s">
        <v>226</v>
      </c>
      <c r="AH1" s="29" t="s">
        <v>173</v>
      </c>
      <c r="AI1" s="29" t="s">
        <v>227</v>
      </c>
      <c r="AJ1" s="29" t="s">
        <v>228</v>
      </c>
      <c r="AK1" s="29" t="s">
        <v>181</v>
      </c>
      <c r="AL1" s="40" t="s">
        <v>186</v>
      </c>
      <c r="AM1" s="29" t="s">
        <v>190</v>
      </c>
      <c r="AN1" s="40" t="s">
        <v>229</v>
      </c>
      <c r="AO1" s="45" t="s">
        <v>161</v>
      </c>
      <c r="AP1" s="45" t="s">
        <v>230</v>
      </c>
      <c r="AQ1" t="s">
        <v>231</v>
      </c>
      <c r="AR1" s="163" t="s">
        <v>232</v>
      </c>
      <c r="AS1" s="163" t="s">
        <v>233</v>
      </c>
      <c r="AT1" s="163" t="s">
        <v>101</v>
      </c>
      <c r="AU1" s="164" t="s">
        <v>181</v>
      </c>
      <c r="AV1" s="164" t="s">
        <v>184</v>
      </c>
      <c r="AW1" t="s">
        <v>157</v>
      </c>
      <c r="AX1" t="s">
        <v>159</v>
      </c>
    </row>
    <row r="2" spans="1:50" ht="189" thickBot="1" x14ac:dyDescent="0.4">
      <c r="A2" s="30" t="s">
        <v>30</v>
      </c>
      <c r="B2" s="31" t="s">
        <v>234</v>
      </c>
      <c r="C2" s="28" t="s">
        <v>235</v>
      </c>
      <c r="D2" s="26" t="s">
        <v>236</v>
      </c>
      <c r="E2" s="27" t="s">
        <v>237</v>
      </c>
      <c r="F2" s="7" t="s">
        <v>238</v>
      </c>
      <c r="G2" s="29" t="s">
        <v>94</v>
      </c>
      <c r="H2" s="29" t="s">
        <v>94</v>
      </c>
      <c r="I2" s="29" t="s">
        <v>94</v>
      </c>
      <c r="J2" s="34" t="str">
        <f ca="1">IF(MONTH(TODAY())&lt;10,"0"&amp;MONTH(TODAY())&amp;"/",MONTH(TODAY())&amp;"/") &amp; IF(DAY(TODAY())&lt;10,"0"&amp;DAY(TODAY())&amp;"/",DAY(TODAY())&amp;"/") &amp; YEAR(TODAY())</f>
        <v>04/08/2025</v>
      </c>
      <c r="K2" s="29" t="s">
        <v>30</v>
      </c>
      <c r="L2" s="29" t="s">
        <v>239</v>
      </c>
      <c r="M2" s="29" t="s">
        <v>122</v>
      </c>
      <c r="N2" s="29" t="s">
        <v>240</v>
      </c>
      <c r="O2" s="29" t="s">
        <v>132</v>
      </c>
      <c r="P2" t="s">
        <v>241</v>
      </c>
      <c r="Q2" s="29" t="s">
        <v>242</v>
      </c>
      <c r="R2" s="34" t="str">
        <f ca="1">IF(MONTH(TODAY())&lt;10,"0"&amp;MONTH(TODAY())&amp;"/",MONTH(TODAY())&amp;"/") &amp; IF(DAY(TODAY())&lt;10,"0"&amp;DAY(TODAY())&amp;"/",DAY(TODAY())&amp;"/") &amp; YEAR(TODAY())</f>
        <v>04/08/2025</v>
      </c>
      <c r="S2" s="29" t="s">
        <v>243</v>
      </c>
      <c r="T2" s="29" t="s">
        <v>244</v>
      </c>
      <c r="U2" s="29">
        <v>10223439</v>
      </c>
      <c r="V2" s="29" t="s">
        <v>245</v>
      </c>
      <c r="W2" s="29" t="s">
        <v>246</v>
      </c>
      <c r="X2" s="29" t="s">
        <v>247</v>
      </c>
      <c r="Y2" s="29" t="s">
        <v>248</v>
      </c>
      <c r="Z2" s="34" t="str">
        <f ca="1">IF(MONTH(TODAY())&lt;10,"0"&amp;MONTH(TODAY())&amp;"/",MONTH(TODAY())&amp;"/") &amp; IF(DAY(TODAY())&lt;10,"0"&amp;DAY(TODAY())&amp;"/",DAY(TODAY())&amp;"/") &amp; YEAR(TODAY())</f>
        <v>04/08/2025</v>
      </c>
      <c r="AA2" t="s">
        <v>151</v>
      </c>
      <c r="AB2" t="s">
        <v>151</v>
      </c>
      <c r="AH2" t="s">
        <v>249</v>
      </c>
      <c r="AI2" t="s">
        <v>250</v>
      </c>
      <c r="AJ2" s="7" t="s">
        <v>251</v>
      </c>
      <c r="AK2" s="29" t="s">
        <v>182</v>
      </c>
      <c r="AL2" s="29" t="s">
        <v>182</v>
      </c>
      <c r="AM2" s="36" t="s">
        <v>252</v>
      </c>
      <c r="AN2" t="s">
        <v>73</v>
      </c>
      <c r="AO2" s="34" t="str">
        <f ca="1">IF(MONTH(TODAY()+100)&lt;10,"0"&amp;MONTH(TODAY()+100)&amp;"/",MONTH(TODAY()+100)&amp;"/") &amp; IF(DAY(TODAY()+100)&lt;10,"0"&amp;DAY(TODAY()+100)&amp;"/",DAY(TODAY()+100)&amp;"/") &amp; YEAR(TODAY()+100)</f>
        <v>07/17/2025</v>
      </c>
      <c r="AP2" t="s">
        <v>234</v>
      </c>
      <c r="AQ2" t="s">
        <v>234</v>
      </c>
      <c r="AR2" s="165" t="s">
        <v>253</v>
      </c>
      <c r="AS2" s="166" t="s">
        <v>254</v>
      </c>
      <c r="AT2" s="163" t="s">
        <v>100</v>
      </c>
      <c r="AU2" s="164" t="s">
        <v>182</v>
      </c>
      <c r="AV2" s="164" t="s">
        <v>255</v>
      </c>
      <c r="AW2" s="162" t="s">
        <v>158</v>
      </c>
      <c r="AX2" s="163" t="s">
        <v>160</v>
      </c>
    </row>
    <row r="3" spans="1:50" ht="15" thickBot="1" x14ac:dyDescent="0.4">
      <c r="A3" s="4" t="s">
        <v>31</v>
      </c>
      <c r="B3" s="32" t="s">
        <v>36</v>
      </c>
      <c r="C3" s="14" t="s">
        <v>256</v>
      </c>
      <c r="D3" s="26" t="s">
        <v>236</v>
      </c>
      <c r="E3" s="27" t="s">
        <v>237</v>
      </c>
      <c r="F3" s="29" t="s">
        <v>91</v>
      </c>
      <c r="G3" s="29" t="s">
        <v>257</v>
      </c>
      <c r="H3" s="29" t="s">
        <v>257</v>
      </c>
      <c r="I3" s="29" t="s">
        <v>257</v>
      </c>
      <c r="J3" s="34" t="str">
        <f ca="1">IF(MONTH(TODAY()-10)&lt;10,"0"&amp;MONTH(TODAY()-10)&amp;"/",MONTH(TODAY()-10))&amp;"/" &amp; IF(DAY(TODAY()-10)&lt;10,"0"&amp;DAY(TODAY()-10)&amp;"/",DAY(TODAY()-10)&amp;"/") &amp; YEAR(TODAY()-10)</f>
        <v>03//29/2025</v>
      </c>
      <c r="L3" s="29" t="s">
        <v>258</v>
      </c>
      <c r="M3" s="29" t="s">
        <v>259</v>
      </c>
      <c r="N3" s="33" t="s">
        <v>125</v>
      </c>
      <c r="O3" s="29" t="s">
        <v>133</v>
      </c>
      <c r="P3" s="29"/>
      <c r="Q3" s="29" t="s">
        <v>260</v>
      </c>
      <c r="R3" s="34" t="str">
        <f ca="1">IF(MONTH(TODAY()+100)&lt;10,"0"&amp;MONTH(TODAY()+100)&amp;"/",MONTH(TODAY()+100)&amp;"/") &amp; IF(DAY(TODAY()+100)&lt;10,"0"&amp;DAY(TODAY()+100)&amp;"/",DAY(TODAY()+100)&amp;"/") &amp; YEAR(TODAY()+100)</f>
        <v>07/17/2025</v>
      </c>
      <c r="T3" s="29" t="s">
        <v>156</v>
      </c>
      <c r="U3">
        <v>10225553</v>
      </c>
      <c r="V3" s="29" t="s">
        <v>261</v>
      </c>
      <c r="W3" s="29" t="s">
        <v>262</v>
      </c>
      <c r="X3" s="29" t="s">
        <v>263</v>
      </c>
      <c r="Y3" s="29" t="s">
        <v>264</v>
      </c>
      <c r="Z3" s="34" t="str">
        <f ca="1">IF(MONTH(TODAY()+100)&lt;10,"0"&amp;MONTH(TODAY()+100)&amp;"/",MONTH(TODAY()+100)&amp;"/") &amp; IF(DAY(TODAY()+100)&lt;10,"0"&amp;DAY(TODAY()+100)&amp;"/",DAY(TODAY()+100)&amp;"/") &amp; YEAR(TODAY()+100)</f>
        <v>07/17/2025</v>
      </c>
      <c r="AA3" s="34"/>
      <c r="AB3" s="34"/>
      <c r="AC3" s="34"/>
      <c r="AD3" s="34"/>
      <c r="AE3" s="34"/>
      <c r="AF3" s="34"/>
      <c r="AG3" s="34"/>
      <c r="AH3" s="34" t="s">
        <v>174</v>
      </c>
      <c r="AI3" s="34" t="s">
        <v>265</v>
      </c>
      <c r="AJ3" s="29" t="s">
        <v>266</v>
      </c>
      <c r="AK3" s="29" t="s">
        <v>255</v>
      </c>
      <c r="AL3" s="29" t="s">
        <v>255</v>
      </c>
      <c r="AM3" s="29" t="s">
        <v>191</v>
      </c>
      <c r="AN3" s="44" t="s">
        <v>267</v>
      </c>
      <c r="AO3" s="34" t="str">
        <f ca="1">IF(MONTH(TODAY()+1000)&lt;10,"0"&amp;MONTH(TODAY()+1000)&amp;"/",MONTH(TODAY()+1000)&amp;"/") &amp; IF(DAY(TODAY()+1000)&lt;10,"0"&amp;DAY(TODAY()+1000)&amp;"/",DAY(TODAY()+1000)&amp;"/") &amp; YEAR(TODAY()+1000)</f>
        <v>01/03/2028</v>
      </c>
      <c r="AP3" t="s">
        <v>36</v>
      </c>
      <c r="AQ3" t="s">
        <v>36</v>
      </c>
      <c r="AR3" s="165" t="s">
        <v>268</v>
      </c>
      <c r="AS3" s="164" t="s">
        <v>269</v>
      </c>
    </row>
    <row r="4" spans="1:50" ht="15" thickBot="1" x14ac:dyDescent="0.4">
      <c r="A4" s="1"/>
      <c r="C4" s="14"/>
      <c r="D4" s="26" t="s">
        <v>270</v>
      </c>
      <c r="E4" s="27" t="s">
        <v>271</v>
      </c>
      <c r="J4" s="34" t="str">
        <f ca="1">IF(MONTH(TODAY()+10)&lt;10,"0"&amp;MONTH(TODAY()+10)&amp;"/",MONTH(TODAY()+10)&amp;"/") &amp; IF(DAY(TODAY()+10)&lt;10,"0"&amp;DAY(TODAY()+10)&amp;"/",DAY(TODAY()+10)&amp;"/") &amp; YEAR(TODAY()+10)</f>
        <v>04/18/2025</v>
      </c>
      <c r="L4" s="29" t="s">
        <v>272</v>
      </c>
      <c r="M4" s="29" t="s">
        <v>121</v>
      </c>
      <c r="N4" s="33" t="s">
        <v>127</v>
      </c>
      <c r="Q4" s="29" t="s">
        <v>142</v>
      </c>
      <c r="R4" s="34" t="str">
        <f ca="1">IF(MONTH(TODAY()+1000)&lt;10,"0"&amp;MONTH(TODAY()+1000)&amp;"/",MONTH(TODAY()+1000)&amp;"/") &amp; IF(DAY(TODAY()+1000)&lt;10,"0"&amp;DAY(TODAY()+1000)&amp;"/",DAY(TODAY()+1000)&amp;"/") &amp; YEAR(TODAY()+1000)</f>
        <v>01/03/2028</v>
      </c>
      <c r="W4" s="29" t="s">
        <v>273</v>
      </c>
      <c r="X4" s="29" t="s">
        <v>274</v>
      </c>
      <c r="Y4" s="29" t="s">
        <v>275</v>
      </c>
      <c r="Z4" s="34" t="str">
        <f ca="1">IF(MONTH(TODAY()+1000)&lt;10,"0"&amp;MONTH(TODAY()+1000)&amp;"/",MONTH(TODAY()+1000)&amp;"/") &amp; IF(DAY(TODAY()+1000)&lt;10,"0"&amp;DAY(TODAY()+1000)&amp;"/",DAY(TODAY()+1000)&amp;"/") &amp; YEAR(TODAY()+1000)</f>
        <v>01/03/2028</v>
      </c>
      <c r="AA4" s="34"/>
      <c r="AB4" s="34"/>
      <c r="AC4" s="34"/>
      <c r="AD4" s="34"/>
      <c r="AE4" s="34"/>
      <c r="AF4" s="34"/>
      <c r="AG4" s="34"/>
      <c r="AH4" s="34" t="s">
        <v>276</v>
      </c>
      <c r="AI4" s="34" t="s">
        <v>277</v>
      </c>
      <c r="AJ4" s="34"/>
      <c r="AK4" s="155" t="s">
        <v>185</v>
      </c>
      <c r="AL4" s="155" t="s">
        <v>185</v>
      </c>
      <c r="AM4" s="34"/>
      <c r="AN4" s="34"/>
      <c r="AO4" s="29" t="s">
        <v>73</v>
      </c>
      <c r="AR4" s="165" t="s">
        <v>278</v>
      </c>
      <c r="AS4" s="166" t="s">
        <v>279</v>
      </c>
    </row>
    <row r="5" spans="1:50" x14ac:dyDescent="0.35">
      <c r="A5" s="1"/>
      <c r="C5" s="14"/>
      <c r="D5" s="26" t="s">
        <v>270</v>
      </c>
      <c r="E5" s="27" t="s">
        <v>271</v>
      </c>
      <c r="L5" s="29" t="s">
        <v>73</v>
      </c>
      <c r="M5" s="29" t="s">
        <v>280</v>
      </c>
      <c r="N5" s="33" t="s">
        <v>281</v>
      </c>
      <c r="Q5" s="29" t="s">
        <v>143</v>
      </c>
      <c r="R5" s="29" t="s">
        <v>73</v>
      </c>
      <c r="W5" s="29" t="s">
        <v>282</v>
      </c>
      <c r="X5" s="29" t="s">
        <v>163</v>
      </c>
      <c r="Z5" s="29" t="s">
        <v>73</v>
      </c>
      <c r="AA5" s="29"/>
      <c r="AB5" s="29"/>
      <c r="AC5" s="29"/>
      <c r="AD5" s="29"/>
      <c r="AE5" s="29"/>
      <c r="AF5" s="29"/>
      <c r="AG5" s="29"/>
      <c r="AH5" s="29"/>
      <c r="AI5" s="29" t="s">
        <v>283</v>
      </c>
      <c r="AJ5" s="29"/>
      <c r="AK5" s="29" t="s">
        <v>187</v>
      </c>
      <c r="AL5" s="29"/>
      <c r="AM5" s="29"/>
      <c r="AN5" s="29"/>
      <c r="AR5" s="165" t="s">
        <v>284</v>
      </c>
      <c r="AS5" s="164" t="s">
        <v>285</v>
      </c>
    </row>
    <row r="6" spans="1:50" ht="15" thickBot="1" x14ac:dyDescent="0.4">
      <c r="A6" s="2"/>
      <c r="E6" s="15"/>
      <c r="N6" s="33" t="s">
        <v>126</v>
      </c>
      <c r="Q6" s="29" t="s">
        <v>141</v>
      </c>
      <c r="R6" s="29"/>
      <c r="X6" s="29" t="s">
        <v>286</v>
      </c>
      <c r="AR6" s="165" t="s">
        <v>287</v>
      </c>
      <c r="AS6" s="164" t="s">
        <v>288</v>
      </c>
    </row>
    <row r="7" spans="1:50" x14ac:dyDescent="0.35">
      <c r="C7" s="14"/>
      <c r="E7" s="15"/>
      <c r="N7" s="33" t="s">
        <v>129</v>
      </c>
      <c r="AR7" s="165" t="s">
        <v>289</v>
      </c>
      <c r="AS7" s="164" t="s">
        <v>290</v>
      </c>
    </row>
    <row r="8" spans="1:50" x14ac:dyDescent="0.35">
      <c r="C8" s="14"/>
      <c r="E8" s="15"/>
      <c r="N8" s="33" t="s">
        <v>291</v>
      </c>
      <c r="AR8" s="163" t="s">
        <v>292</v>
      </c>
      <c r="AS8" s="164" t="s">
        <v>293</v>
      </c>
    </row>
    <row r="9" spans="1:50" ht="15" thickBot="1" x14ac:dyDescent="0.4">
      <c r="C9" s="16"/>
      <c r="D9" s="17"/>
      <c r="E9" s="18"/>
      <c r="N9" s="33" t="s">
        <v>294</v>
      </c>
      <c r="AR9" s="165" t="s">
        <v>295</v>
      </c>
      <c r="AS9" s="167" t="s">
        <v>296</v>
      </c>
    </row>
    <row r="10" spans="1:50" x14ac:dyDescent="0.35">
      <c r="N10" s="33" t="s">
        <v>297</v>
      </c>
    </row>
    <row r="11" spans="1:50" x14ac:dyDescent="0.35">
      <c r="N11" s="33" t="s">
        <v>298</v>
      </c>
      <c r="AR11" s="168"/>
    </row>
    <row r="12" spans="1:50" x14ac:dyDescent="0.35">
      <c r="N12" s="33" t="s">
        <v>128</v>
      </c>
    </row>
    <row r="13" spans="1:50" x14ac:dyDescent="0.35">
      <c r="N13" s="33" t="s">
        <v>299</v>
      </c>
    </row>
    <row r="14" spans="1:50" x14ac:dyDescent="0.35">
      <c r="N14" s="33" t="s">
        <v>300</v>
      </c>
    </row>
    <row r="15" spans="1:50" x14ac:dyDescent="0.35">
      <c r="N15" s="33" t="s">
        <v>301</v>
      </c>
    </row>
    <row r="21" spans="3:44" x14ac:dyDescent="0.35">
      <c r="K21" t="s">
        <v>302</v>
      </c>
      <c r="U21">
        <v>8701839</v>
      </c>
      <c r="V21" t="s">
        <v>303</v>
      </c>
      <c r="W21" t="s">
        <v>304</v>
      </c>
      <c r="AQ21" t="s">
        <v>305</v>
      </c>
    </row>
    <row r="22" spans="3:44" x14ac:dyDescent="0.35">
      <c r="C22" t="s">
        <v>306</v>
      </c>
      <c r="D22" t="s">
        <v>307</v>
      </c>
      <c r="E22" t="s">
        <v>308</v>
      </c>
      <c r="K22" t="s">
        <v>309</v>
      </c>
      <c r="W22" t="s">
        <v>310</v>
      </c>
      <c r="Y22" t="s">
        <v>311</v>
      </c>
      <c r="AQ22" t="s">
        <v>312</v>
      </c>
      <c r="AR22" s="163" t="s">
        <v>313</v>
      </c>
    </row>
    <row r="23" spans="3:44" x14ac:dyDescent="0.35">
      <c r="W23" t="s">
        <v>259</v>
      </c>
      <c r="Y23" t="s">
        <v>314</v>
      </c>
      <c r="AR23" s="163" t="s">
        <v>315</v>
      </c>
    </row>
    <row r="24" spans="3:44" x14ac:dyDescent="0.35">
      <c r="C24" s="19" t="s">
        <v>316</v>
      </c>
      <c r="D24" t="s">
        <v>270</v>
      </c>
      <c r="E24" s="15" t="s">
        <v>271</v>
      </c>
      <c r="AR24" s="163" t="s">
        <v>317</v>
      </c>
    </row>
    <row r="25" spans="3:44" x14ac:dyDescent="0.35">
      <c r="C25" s="19" t="s">
        <v>318</v>
      </c>
      <c r="D25" t="s">
        <v>270</v>
      </c>
      <c r="E25" s="15" t="s">
        <v>271</v>
      </c>
      <c r="AR25" s="163" t="s">
        <v>319</v>
      </c>
    </row>
    <row r="26" spans="3:44" x14ac:dyDescent="0.35">
      <c r="AR26" s="163" t="s">
        <v>320</v>
      </c>
    </row>
    <row r="27" spans="3:44" x14ac:dyDescent="0.35">
      <c r="AR27" s="163" t="s">
        <v>321</v>
      </c>
    </row>
    <row r="28" spans="3:44" x14ac:dyDescent="0.35">
      <c r="AR28" s="163" t="s">
        <v>322</v>
      </c>
    </row>
  </sheetData>
  <phoneticPr fontId="13"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56" t="s">
        <v>323</v>
      </c>
      <c r="B1" s="157">
        <v>35139</v>
      </c>
      <c r="C1" s="157">
        <v>33054</v>
      </c>
      <c r="D1" s="157">
        <v>31390</v>
      </c>
      <c r="F1" s="159" t="s">
        <v>324</v>
      </c>
      <c r="G1" s="159" t="s">
        <v>325</v>
      </c>
      <c r="H1" s="159" t="s">
        <v>326</v>
      </c>
    </row>
    <row r="2" spans="1:8" x14ac:dyDescent="0.35">
      <c r="B2" s="29">
        <v>9603150007</v>
      </c>
      <c r="C2">
        <v>9006300006</v>
      </c>
      <c r="D2">
        <v>8512090004</v>
      </c>
      <c r="F2" s="159">
        <f>B2/11</f>
        <v>873013637</v>
      </c>
      <c r="G2" s="159">
        <f>C2/11</f>
        <v>818754546</v>
      </c>
      <c r="H2" s="159">
        <f>D2/11</f>
        <v>773826364</v>
      </c>
    </row>
    <row r="3" spans="1:8" x14ac:dyDescent="0.35">
      <c r="B3" s="29">
        <f>B2+11</f>
        <v>9603150018</v>
      </c>
      <c r="C3">
        <f>C2+11</f>
        <v>9006300017</v>
      </c>
      <c r="D3">
        <f>D2+11</f>
        <v>8512090015</v>
      </c>
      <c r="F3" s="159">
        <f t="shared" ref="F3:H28" si="0">B3/11</f>
        <v>873013638</v>
      </c>
      <c r="G3" s="159">
        <f t="shared" si="0"/>
        <v>818754547</v>
      </c>
      <c r="H3" s="159">
        <f t="shared" si="0"/>
        <v>773826365</v>
      </c>
    </row>
    <row r="4" spans="1:8" x14ac:dyDescent="0.35">
      <c r="B4" s="29">
        <f t="shared" ref="B4:B67" si="1">B3+11</f>
        <v>9603150029</v>
      </c>
      <c r="C4">
        <f t="shared" ref="C4:D19" si="2">C3+11</f>
        <v>9006300028</v>
      </c>
      <c r="D4">
        <f t="shared" si="2"/>
        <v>8512090026</v>
      </c>
      <c r="F4" s="159">
        <f t="shared" si="0"/>
        <v>873013639</v>
      </c>
      <c r="G4" s="159">
        <f t="shared" si="0"/>
        <v>818754548</v>
      </c>
      <c r="H4" s="159">
        <f t="shared" si="0"/>
        <v>773826366</v>
      </c>
    </row>
    <row r="5" spans="1:8" x14ac:dyDescent="0.35">
      <c r="B5" s="29">
        <f t="shared" si="1"/>
        <v>9603150040</v>
      </c>
      <c r="C5">
        <f t="shared" si="2"/>
        <v>9006300039</v>
      </c>
      <c r="D5">
        <f t="shared" si="2"/>
        <v>8512090037</v>
      </c>
      <c r="F5" s="159">
        <f t="shared" si="0"/>
        <v>873013640</v>
      </c>
      <c r="G5" s="159">
        <f t="shared" si="0"/>
        <v>818754549</v>
      </c>
      <c r="H5" s="159">
        <f t="shared" si="0"/>
        <v>773826367</v>
      </c>
    </row>
    <row r="6" spans="1:8" x14ac:dyDescent="0.35">
      <c r="B6" s="29">
        <f t="shared" si="1"/>
        <v>9603150051</v>
      </c>
      <c r="C6">
        <f t="shared" si="2"/>
        <v>9006300050</v>
      </c>
      <c r="D6">
        <f t="shared" si="2"/>
        <v>8512090048</v>
      </c>
      <c r="F6" s="159">
        <f t="shared" si="0"/>
        <v>873013641</v>
      </c>
      <c r="G6" s="159">
        <f t="shared" si="0"/>
        <v>818754550</v>
      </c>
      <c r="H6" s="159">
        <f t="shared" si="0"/>
        <v>773826368</v>
      </c>
    </row>
    <row r="7" spans="1:8" x14ac:dyDescent="0.35">
      <c r="B7" s="29">
        <f t="shared" si="1"/>
        <v>9603150062</v>
      </c>
      <c r="C7">
        <f t="shared" si="2"/>
        <v>9006300061</v>
      </c>
      <c r="D7">
        <f t="shared" si="2"/>
        <v>8512090059</v>
      </c>
      <c r="F7" s="159">
        <f t="shared" si="0"/>
        <v>873013642</v>
      </c>
      <c r="G7" s="159">
        <f t="shared" si="0"/>
        <v>818754551</v>
      </c>
      <c r="H7" s="159">
        <f t="shared" si="0"/>
        <v>773826369</v>
      </c>
    </row>
    <row r="8" spans="1:8" x14ac:dyDescent="0.35">
      <c r="B8" s="29">
        <f t="shared" si="1"/>
        <v>9603150073</v>
      </c>
      <c r="C8">
        <f t="shared" si="2"/>
        <v>9006300072</v>
      </c>
      <c r="D8">
        <f t="shared" si="2"/>
        <v>8512090070</v>
      </c>
      <c r="F8" s="159">
        <f t="shared" si="0"/>
        <v>873013643</v>
      </c>
      <c r="G8" s="159">
        <f t="shared" si="0"/>
        <v>818754552</v>
      </c>
      <c r="H8" s="159">
        <f t="shared" si="0"/>
        <v>773826370</v>
      </c>
    </row>
    <row r="9" spans="1:8" x14ac:dyDescent="0.35">
      <c r="B9" s="29">
        <f t="shared" si="1"/>
        <v>9603150084</v>
      </c>
      <c r="C9">
        <f t="shared" si="2"/>
        <v>9006300083</v>
      </c>
      <c r="D9">
        <f t="shared" si="2"/>
        <v>8512090081</v>
      </c>
      <c r="F9" s="159">
        <f t="shared" si="0"/>
        <v>873013644</v>
      </c>
      <c r="G9" s="159">
        <f t="shared" si="0"/>
        <v>818754553</v>
      </c>
      <c r="H9" s="159">
        <f t="shared" si="0"/>
        <v>773826371</v>
      </c>
    </row>
    <row r="10" spans="1:8" x14ac:dyDescent="0.35">
      <c r="B10" s="29">
        <f t="shared" si="1"/>
        <v>9603150095</v>
      </c>
      <c r="C10">
        <f t="shared" si="2"/>
        <v>9006300094</v>
      </c>
      <c r="D10">
        <f t="shared" si="2"/>
        <v>8512090092</v>
      </c>
      <c r="F10" s="159">
        <f t="shared" si="0"/>
        <v>873013645</v>
      </c>
      <c r="G10" s="159">
        <f t="shared" si="0"/>
        <v>818754554</v>
      </c>
      <c r="H10" s="159">
        <f t="shared" si="0"/>
        <v>773826372</v>
      </c>
    </row>
    <row r="11" spans="1:8" x14ac:dyDescent="0.35">
      <c r="B11" s="29">
        <f t="shared" si="1"/>
        <v>9603150106</v>
      </c>
      <c r="C11">
        <f t="shared" si="2"/>
        <v>9006300105</v>
      </c>
      <c r="D11">
        <f t="shared" si="2"/>
        <v>8512090103</v>
      </c>
      <c r="F11" s="159">
        <f t="shared" si="0"/>
        <v>873013646</v>
      </c>
      <c r="G11" s="159">
        <f t="shared" si="0"/>
        <v>818754555</v>
      </c>
      <c r="H11" s="159">
        <f t="shared" si="0"/>
        <v>773826373</v>
      </c>
    </row>
    <row r="12" spans="1:8" x14ac:dyDescent="0.35">
      <c r="B12" s="29">
        <f t="shared" si="1"/>
        <v>9603150117</v>
      </c>
      <c r="C12">
        <f t="shared" si="2"/>
        <v>9006300116</v>
      </c>
      <c r="D12">
        <f t="shared" si="2"/>
        <v>8512090114</v>
      </c>
      <c r="F12" s="159">
        <f t="shared" si="0"/>
        <v>873013647</v>
      </c>
      <c r="G12" s="159">
        <f t="shared" si="0"/>
        <v>818754556</v>
      </c>
      <c r="H12" s="159">
        <f t="shared" si="0"/>
        <v>773826374</v>
      </c>
    </row>
    <row r="13" spans="1:8" x14ac:dyDescent="0.35">
      <c r="B13" s="29">
        <f t="shared" si="1"/>
        <v>9603150128</v>
      </c>
      <c r="C13">
        <f t="shared" si="2"/>
        <v>9006300127</v>
      </c>
      <c r="D13">
        <f t="shared" si="2"/>
        <v>8512090125</v>
      </c>
      <c r="F13" s="159">
        <f t="shared" si="0"/>
        <v>873013648</v>
      </c>
      <c r="G13" s="159">
        <f t="shared" si="0"/>
        <v>818754557</v>
      </c>
      <c r="H13" s="159">
        <f t="shared" si="0"/>
        <v>773826375</v>
      </c>
    </row>
    <row r="14" spans="1:8" x14ac:dyDescent="0.35">
      <c r="B14" s="29">
        <f t="shared" si="1"/>
        <v>9603150139</v>
      </c>
      <c r="C14">
        <f t="shared" si="2"/>
        <v>9006300138</v>
      </c>
      <c r="D14">
        <f t="shared" si="2"/>
        <v>8512090136</v>
      </c>
      <c r="F14" s="159">
        <f t="shared" si="0"/>
        <v>873013649</v>
      </c>
      <c r="G14" s="159">
        <f t="shared" si="0"/>
        <v>818754558</v>
      </c>
      <c r="H14" s="159">
        <f t="shared" si="0"/>
        <v>773826376</v>
      </c>
    </row>
    <row r="15" spans="1:8" x14ac:dyDescent="0.35">
      <c r="B15" s="29">
        <f t="shared" si="1"/>
        <v>9603150150</v>
      </c>
      <c r="C15">
        <f t="shared" si="2"/>
        <v>9006300149</v>
      </c>
      <c r="D15">
        <f t="shared" si="2"/>
        <v>8512090147</v>
      </c>
      <c r="F15" s="159">
        <f t="shared" si="0"/>
        <v>873013650</v>
      </c>
      <c r="G15" s="159">
        <f t="shared" si="0"/>
        <v>818754559</v>
      </c>
      <c r="H15" s="159">
        <f t="shared" si="0"/>
        <v>773826377</v>
      </c>
    </row>
    <row r="16" spans="1:8" x14ac:dyDescent="0.35">
      <c r="B16" s="29">
        <f t="shared" si="1"/>
        <v>9603150161</v>
      </c>
      <c r="C16">
        <f t="shared" si="2"/>
        <v>9006300160</v>
      </c>
      <c r="D16">
        <f t="shared" si="2"/>
        <v>8512090158</v>
      </c>
      <c r="F16" s="159">
        <f t="shared" si="0"/>
        <v>873013651</v>
      </c>
      <c r="G16" s="159">
        <f t="shared" si="0"/>
        <v>818754560</v>
      </c>
      <c r="H16" s="159">
        <f t="shared" si="0"/>
        <v>773826378</v>
      </c>
    </row>
    <row r="17" spans="2:8" x14ac:dyDescent="0.35">
      <c r="B17" s="29">
        <f t="shared" si="1"/>
        <v>9603150172</v>
      </c>
      <c r="C17">
        <f t="shared" si="2"/>
        <v>9006300171</v>
      </c>
      <c r="D17">
        <f t="shared" si="2"/>
        <v>8512090169</v>
      </c>
      <c r="F17" s="159">
        <f t="shared" si="0"/>
        <v>873013652</v>
      </c>
      <c r="G17" s="159">
        <f t="shared" si="0"/>
        <v>818754561</v>
      </c>
      <c r="H17" s="159">
        <f t="shared" si="0"/>
        <v>773826379</v>
      </c>
    </row>
    <row r="18" spans="2:8" x14ac:dyDescent="0.35">
      <c r="B18" s="29">
        <f t="shared" si="1"/>
        <v>9603150183</v>
      </c>
      <c r="C18">
        <f t="shared" si="2"/>
        <v>9006300182</v>
      </c>
      <c r="D18">
        <f t="shared" si="2"/>
        <v>8512090180</v>
      </c>
      <c r="F18" s="159">
        <f t="shared" si="0"/>
        <v>873013653</v>
      </c>
      <c r="G18" s="159">
        <f t="shared" si="0"/>
        <v>818754562</v>
      </c>
      <c r="H18" s="159">
        <f t="shared" si="0"/>
        <v>773826380</v>
      </c>
    </row>
    <row r="19" spans="2:8" x14ac:dyDescent="0.35">
      <c r="B19" s="29">
        <f t="shared" si="1"/>
        <v>9603150194</v>
      </c>
      <c r="C19">
        <f t="shared" si="2"/>
        <v>9006300193</v>
      </c>
      <c r="D19">
        <f t="shared" si="2"/>
        <v>8512090191</v>
      </c>
      <c r="F19" s="159">
        <f t="shared" si="0"/>
        <v>873013654</v>
      </c>
      <c r="G19" s="159">
        <f t="shared" si="0"/>
        <v>818754563</v>
      </c>
      <c r="H19" s="159">
        <f t="shared" si="0"/>
        <v>773826381</v>
      </c>
    </row>
    <row r="20" spans="2:8" x14ac:dyDescent="0.35">
      <c r="B20" s="29">
        <f t="shared" si="1"/>
        <v>9603150205</v>
      </c>
      <c r="C20">
        <f t="shared" ref="C20:D28" si="3">C19+11</f>
        <v>9006300204</v>
      </c>
      <c r="D20">
        <f t="shared" si="3"/>
        <v>8512090202</v>
      </c>
      <c r="F20" s="159">
        <f t="shared" si="0"/>
        <v>873013655</v>
      </c>
      <c r="G20" s="159">
        <f t="shared" si="0"/>
        <v>818754564</v>
      </c>
      <c r="H20" s="159">
        <f t="shared" si="0"/>
        <v>773826382</v>
      </c>
    </row>
    <row r="21" spans="2:8" x14ac:dyDescent="0.35">
      <c r="B21" s="29">
        <f t="shared" si="1"/>
        <v>9603150216</v>
      </c>
      <c r="C21">
        <f t="shared" si="3"/>
        <v>9006300215</v>
      </c>
      <c r="D21">
        <f t="shared" si="3"/>
        <v>8512090213</v>
      </c>
      <c r="F21" s="159">
        <f t="shared" si="0"/>
        <v>873013656</v>
      </c>
      <c r="G21" s="159">
        <f t="shared" si="0"/>
        <v>818754565</v>
      </c>
      <c r="H21" s="159">
        <f t="shared" si="0"/>
        <v>773826383</v>
      </c>
    </row>
    <row r="22" spans="2:8" x14ac:dyDescent="0.35">
      <c r="B22" s="29">
        <f t="shared" si="1"/>
        <v>9603150227</v>
      </c>
      <c r="C22">
        <f t="shared" si="3"/>
        <v>9006300226</v>
      </c>
      <c r="D22">
        <f t="shared" si="3"/>
        <v>8512090224</v>
      </c>
      <c r="F22" s="159">
        <f t="shared" si="0"/>
        <v>873013657</v>
      </c>
      <c r="G22" s="159">
        <f t="shared" si="0"/>
        <v>818754566</v>
      </c>
      <c r="H22" s="159">
        <f t="shared" si="0"/>
        <v>773826384</v>
      </c>
    </row>
    <row r="23" spans="2:8" x14ac:dyDescent="0.35">
      <c r="B23" s="29">
        <f t="shared" si="1"/>
        <v>9603150238</v>
      </c>
      <c r="C23">
        <f t="shared" si="3"/>
        <v>9006300237</v>
      </c>
      <c r="D23">
        <f t="shared" si="3"/>
        <v>8512090235</v>
      </c>
      <c r="F23" s="159">
        <f t="shared" si="0"/>
        <v>873013658</v>
      </c>
      <c r="G23" s="159">
        <f t="shared" si="0"/>
        <v>818754567</v>
      </c>
      <c r="H23" s="159">
        <f t="shared" si="0"/>
        <v>773826385</v>
      </c>
    </row>
    <row r="24" spans="2:8" x14ac:dyDescent="0.35">
      <c r="B24" s="29">
        <f t="shared" si="1"/>
        <v>9603150249</v>
      </c>
      <c r="C24">
        <f t="shared" si="3"/>
        <v>9006300248</v>
      </c>
      <c r="D24">
        <f t="shared" si="3"/>
        <v>8512090246</v>
      </c>
      <c r="F24" s="159">
        <f t="shared" si="0"/>
        <v>873013659</v>
      </c>
      <c r="G24" s="159">
        <f t="shared" si="0"/>
        <v>818754568</v>
      </c>
      <c r="H24" s="159">
        <f t="shared" si="0"/>
        <v>773826386</v>
      </c>
    </row>
    <row r="25" spans="2:8" x14ac:dyDescent="0.35">
      <c r="B25" s="29">
        <f t="shared" si="1"/>
        <v>9603150260</v>
      </c>
      <c r="C25">
        <f t="shared" si="3"/>
        <v>9006300259</v>
      </c>
      <c r="D25">
        <f t="shared" si="3"/>
        <v>8512090257</v>
      </c>
      <c r="F25" s="159">
        <f t="shared" si="0"/>
        <v>873013660</v>
      </c>
      <c r="G25" s="159">
        <f t="shared" si="0"/>
        <v>818754569</v>
      </c>
      <c r="H25" s="159">
        <f t="shared" si="0"/>
        <v>773826387</v>
      </c>
    </row>
    <row r="26" spans="2:8" x14ac:dyDescent="0.35">
      <c r="B26" s="29">
        <f t="shared" si="1"/>
        <v>9603150271</v>
      </c>
      <c r="C26">
        <f t="shared" si="3"/>
        <v>9006300270</v>
      </c>
      <c r="D26">
        <f t="shared" si="3"/>
        <v>8512090268</v>
      </c>
      <c r="F26" s="159">
        <f t="shared" si="0"/>
        <v>873013661</v>
      </c>
      <c r="G26" s="159">
        <f t="shared" si="0"/>
        <v>818754570</v>
      </c>
      <c r="H26" s="159">
        <f t="shared" si="0"/>
        <v>773826388</v>
      </c>
    </row>
    <row r="27" spans="2:8" x14ac:dyDescent="0.35">
      <c r="B27" s="29">
        <f t="shared" si="1"/>
        <v>9603150282</v>
      </c>
      <c r="C27">
        <f t="shared" si="3"/>
        <v>9006300281</v>
      </c>
      <c r="D27">
        <f t="shared" si="3"/>
        <v>8512090279</v>
      </c>
      <c r="F27" s="159">
        <f t="shared" si="0"/>
        <v>873013662</v>
      </c>
      <c r="G27" s="159">
        <f t="shared" si="0"/>
        <v>818754571</v>
      </c>
      <c r="H27" s="159">
        <f t="shared" si="0"/>
        <v>773826389</v>
      </c>
    </row>
    <row r="28" spans="2:8" x14ac:dyDescent="0.35">
      <c r="B28" s="29">
        <f t="shared" si="1"/>
        <v>9603150293</v>
      </c>
      <c r="C28">
        <f t="shared" si="3"/>
        <v>9006300292</v>
      </c>
      <c r="D28">
        <f t="shared" si="3"/>
        <v>8512090290</v>
      </c>
      <c r="F28" s="159">
        <f t="shared" si="0"/>
        <v>873013663</v>
      </c>
      <c r="G28" s="159">
        <f t="shared" si="0"/>
        <v>818754572</v>
      </c>
      <c r="H28" s="159">
        <f t="shared" si="0"/>
        <v>773826390</v>
      </c>
    </row>
    <row r="29" spans="2:8" x14ac:dyDescent="0.35">
      <c r="B29" s="29">
        <f t="shared" si="1"/>
        <v>9603150304</v>
      </c>
    </row>
    <row r="30" spans="2:8" x14ac:dyDescent="0.35">
      <c r="B30" s="29">
        <f t="shared" si="1"/>
        <v>9603150315</v>
      </c>
    </row>
    <row r="31" spans="2:8" x14ac:dyDescent="0.35">
      <c r="B31" s="29">
        <f t="shared" si="1"/>
        <v>9603150326</v>
      </c>
    </row>
    <row r="32" spans="2:8" x14ac:dyDescent="0.35">
      <c r="B32" s="29">
        <f t="shared" si="1"/>
        <v>9603150337</v>
      </c>
    </row>
    <row r="33" spans="2:2" x14ac:dyDescent="0.35">
      <c r="B33" s="29">
        <f t="shared" si="1"/>
        <v>9603150348</v>
      </c>
    </row>
    <row r="34" spans="2:2" x14ac:dyDescent="0.35">
      <c r="B34" s="29">
        <f t="shared" si="1"/>
        <v>9603150359</v>
      </c>
    </row>
    <row r="35" spans="2:2" x14ac:dyDescent="0.35">
      <c r="B35" s="29">
        <f t="shared" si="1"/>
        <v>9603150370</v>
      </c>
    </row>
    <row r="36" spans="2:2" x14ac:dyDescent="0.35">
      <c r="B36" s="29">
        <f t="shared" si="1"/>
        <v>9603150381</v>
      </c>
    </row>
    <row r="37" spans="2:2" x14ac:dyDescent="0.35">
      <c r="B37" s="29">
        <f t="shared" si="1"/>
        <v>9603150392</v>
      </c>
    </row>
    <row r="38" spans="2:2" x14ac:dyDescent="0.35">
      <c r="B38" s="29">
        <f t="shared" si="1"/>
        <v>9603150403</v>
      </c>
    </row>
    <row r="39" spans="2:2" x14ac:dyDescent="0.35">
      <c r="B39" s="29">
        <f t="shared" si="1"/>
        <v>9603150414</v>
      </c>
    </row>
    <row r="40" spans="2:2" x14ac:dyDescent="0.35">
      <c r="B40" s="29">
        <f t="shared" si="1"/>
        <v>9603150425</v>
      </c>
    </row>
    <row r="41" spans="2:2" x14ac:dyDescent="0.35">
      <c r="B41" s="29">
        <f t="shared" si="1"/>
        <v>9603150436</v>
      </c>
    </row>
    <row r="42" spans="2:2" x14ac:dyDescent="0.35">
      <c r="B42" s="29">
        <f t="shared" si="1"/>
        <v>9603150447</v>
      </c>
    </row>
    <row r="43" spans="2:2" x14ac:dyDescent="0.35">
      <c r="B43" s="29">
        <f t="shared" si="1"/>
        <v>9603150458</v>
      </c>
    </row>
    <row r="44" spans="2:2" x14ac:dyDescent="0.35">
      <c r="B44" s="29">
        <f t="shared" si="1"/>
        <v>9603150469</v>
      </c>
    </row>
    <row r="45" spans="2:2" x14ac:dyDescent="0.35">
      <c r="B45" s="29">
        <f t="shared" si="1"/>
        <v>9603150480</v>
      </c>
    </row>
    <row r="46" spans="2:2" x14ac:dyDescent="0.35">
      <c r="B46" s="29">
        <f t="shared" si="1"/>
        <v>9603150491</v>
      </c>
    </row>
    <row r="47" spans="2:2" x14ac:dyDescent="0.35">
      <c r="B47" s="29">
        <f t="shared" si="1"/>
        <v>9603150502</v>
      </c>
    </row>
    <row r="48" spans="2:2" x14ac:dyDescent="0.35">
      <c r="B48" s="29">
        <f t="shared" si="1"/>
        <v>9603150513</v>
      </c>
    </row>
    <row r="49" spans="2:2" x14ac:dyDescent="0.35">
      <c r="B49" s="29">
        <f t="shared" si="1"/>
        <v>9603150524</v>
      </c>
    </row>
    <row r="50" spans="2:2" x14ac:dyDescent="0.35">
      <c r="B50" s="29">
        <f t="shared" si="1"/>
        <v>9603150535</v>
      </c>
    </row>
    <row r="51" spans="2:2" x14ac:dyDescent="0.35">
      <c r="B51" s="29">
        <f t="shared" si="1"/>
        <v>9603150546</v>
      </c>
    </row>
    <row r="52" spans="2:2" x14ac:dyDescent="0.35">
      <c r="B52" s="29">
        <f t="shared" si="1"/>
        <v>9603150557</v>
      </c>
    </row>
    <row r="53" spans="2:2" x14ac:dyDescent="0.35">
      <c r="B53" s="29">
        <f t="shared" si="1"/>
        <v>9603150568</v>
      </c>
    </row>
    <row r="54" spans="2:2" x14ac:dyDescent="0.35">
      <c r="B54" s="29">
        <f t="shared" si="1"/>
        <v>9603150579</v>
      </c>
    </row>
    <row r="55" spans="2:2" x14ac:dyDescent="0.35">
      <c r="B55" s="29">
        <f t="shared" si="1"/>
        <v>9603150590</v>
      </c>
    </row>
    <row r="56" spans="2:2" x14ac:dyDescent="0.35">
      <c r="B56" s="29">
        <f t="shared" si="1"/>
        <v>9603150601</v>
      </c>
    </row>
    <row r="57" spans="2:2" x14ac:dyDescent="0.35">
      <c r="B57" s="29">
        <f t="shared" si="1"/>
        <v>9603150612</v>
      </c>
    </row>
    <row r="58" spans="2:2" x14ac:dyDescent="0.35">
      <c r="B58" s="29">
        <f t="shared" si="1"/>
        <v>9603150623</v>
      </c>
    </row>
    <row r="59" spans="2:2" x14ac:dyDescent="0.35">
      <c r="B59" s="29">
        <f t="shared" si="1"/>
        <v>9603150634</v>
      </c>
    </row>
    <row r="60" spans="2:2" x14ac:dyDescent="0.35">
      <c r="B60" s="29">
        <f t="shared" si="1"/>
        <v>9603150645</v>
      </c>
    </row>
    <row r="61" spans="2:2" x14ac:dyDescent="0.35">
      <c r="B61" s="29">
        <f t="shared" si="1"/>
        <v>9603150656</v>
      </c>
    </row>
    <row r="62" spans="2:2" x14ac:dyDescent="0.35">
      <c r="B62" s="29">
        <f t="shared" si="1"/>
        <v>9603150667</v>
      </c>
    </row>
    <row r="63" spans="2:2" x14ac:dyDescent="0.35">
      <c r="B63" s="29">
        <f t="shared" si="1"/>
        <v>9603150678</v>
      </c>
    </row>
    <row r="64" spans="2:2" x14ac:dyDescent="0.35">
      <c r="B64" s="29">
        <f t="shared" si="1"/>
        <v>9603150689</v>
      </c>
    </row>
    <row r="65" spans="2:24" x14ac:dyDescent="0.35">
      <c r="B65" s="29">
        <f t="shared" si="1"/>
        <v>9603150700</v>
      </c>
    </row>
    <row r="66" spans="2:24" x14ac:dyDescent="0.35">
      <c r="B66" s="29">
        <f t="shared" si="1"/>
        <v>9603150711</v>
      </c>
    </row>
    <row r="67" spans="2:24" x14ac:dyDescent="0.35">
      <c r="B67" s="29">
        <f t="shared" si="1"/>
        <v>9603150722</v>
      </c>
    </row>
    <row r="68" spans="2:24" x14ac:dyDescent="0.35">
      <c r="B68" s="29">
        <f t="shared" ref="B68:B86" si="4">B67+11</f>
        <v>9603150733</v>
      </c>
    </row>
    <row r="69" spans="2:24" x14ac:dyDescent="0.35">
      <c r="B69" s="29">
        <f t="shared" si="4"/>
        <v>9603150744</v>
      </c>
    </row>
    <row r="70" spans="2:24" x14ac:dyDescent="0.35">
      <c r="B70" s="29">
        <f t="shared" si="4"/>
        <v>9603150755</v>
      </c>
    </row>
    <row r="71" spans="2:24" x14ac:dyDescent="0.35">
      <c r="B71" s="29">
        <f t="shared" si="4"/>
        <v>9603150766</v>
      </c>
    </row>
    <row r="72" spans="2:24" x14ac:dyDescent="0.35">
      <c r="B72" s="29">
        <f t="shared" si="4"/>
        <v>9603150777</v>
      </c>
    </row>
    <row r="73" spans="2:24" x14ac:dyDescent="0.35">
      <c r="B73" s="29">
        <f t="shared" si="4"/>
        <v>9603150788</v>
      </c>
    </row>
    <row r="74" spans="2:24" x14ac:dyDescent="0.35">
      <c r="B74" s="29">
        <f t="shared" si="4"/>
        <v>9603150799</v>
      </c>
    </row>
    <row r="75" spans="2:24" x14ac:dyDescent="0.35">
      <c r="B75" s="29">
        <f t="shared" si="4"/>
        <v>9603150810</v>
      </c>
    </row>
    <row r="76" spans="2:24" x14ac:dyDescent="0.35">
      <c r="B76" s="29">
        <f t="shared" si="4"/>
        <v>9603150821</v>
      </c>
      <c r="X76" s="156" t="s">
        <v>327</v>
      </c>
    </row>
    <row r="77" spans="2:24" x14ac:dyDescent="0.35">
      <c r="B77" s="29">
        <f t="shared" si="4"/>
        <v>9603150832</v>
      </c>
      <c r="X77" s="160">
        <v>9202101337</v>
      </c>
    </row>
    <row r="78" spans="2:24" x14ac:dyDescent="0.35">
      <c r="B78" s="29">
        <f t="shared" si="4"/>
        <v>9603150843</v>
      </c>
      <c r="X78" s="160">
        <f>SUM(X77)+11</f>
        <v>9202101348</v>
      </c>
    </row>
    <row r="79" spans="2:24" x14ac:dyDescent="0.35">
      <c r="B79" s="29">
        <f t="shared" si="4"/>
        <v>9603150854</v>
      </c>
      <c r="X79" s="29">
        <f t="shared" ref="X79:X133" si="5">SUM(X78)+11</f>
        <v>9202101359</v>
      </c>
    </row>
    <row r="80" spans="2:24" x14ac:dyDescent="0.35">
      <c r="B80" s="29">
        <f t="shared" si="4"/>
        <v>9603150865</v>
      </c>
      <c r="X80" s="29">
        <f t="shared" si="5"/>
        <v>9202101370</v>
      </c>
    </row>
    <row r="81" spans="2:24" x14ac:dyDescent="0.35">
      <c r="B81" s="29">
        <f t="shared" si="4"/>
        <v>9603150876</v>
      </c>
      <c r="X81" s="29">
        <f t="shared" si="5"/>
        <v>9202101381</v>
      </c>
    </row>
    <row r="82" spans="2:24" x14ac:dyDescent="0.35">
      <c r="B82" s="29">
        <f t="shared" si="4"/>
        <v>9603150887</v>
      </c>
      <c r="X82" s="29">
        <f t="shared" si="5"/>
        <v>9202101392</v>
      </c>
    </row>
    <row r="83" spans="2:24" x14ac:dyDescent="0.35">
      <c r="B83" s="29">
        <f t="shared" si="4"/>
        <v>9603150898</v>
      </c>
      <c r="X83" s="29">
        <f t="shared" si="5"/>
        <v>9202101403</v>
      </c>
    </row>
    <row r="84" spans="2:24" x14ac:dyDescent="0.35">
      <c r="B84" s="29">
        <f t="shared" si="4"/>
        <v>9603150909</v>
      </c>
      <c r="X84" s="29">
        <f t="shared" si="5"/>
        <v>9202101414</v>
      </c>
    </row>
    <row r="85" spans="2:24" x14ac:dyDescent="0.35">
      <c r="B85" s="29">
        <f t="shared" si="4"/>
        <v>9603150920</v>
      </c>
      <c r="X85" s="29">
        <f t="shared" si="5"/>
        <v>9202101425</v>
      </c>
    </row>
    <row r="86" spans="2:24" x14ac:dyDescent="0.35">
      <c r="B86" s="29">
        <f t="shared" si="4"/>
        <v>9603150931</v>
      </c>
      <c r="D86" s="29">
        <v>9603170269</v>
      </c>
      <c r="X86" s="29">
        <f t="shared" si="5"/>
        <v>9202101436</v>
      </c>
    </row>
    <row r="87" spans="2:24" x14ac:dyDescent="0.35">
      <c r="D87">
        <f>D86+11</f>
        <v>9603170280</v>
      </c>
      <c r="F87">
        <v>9603170280</v>
      </c>
      <c r="H87" s="29">
        <v>9603170280</v>
      </c>
      <c r="I87" s="29">
        <v>9603170291</v>
      </c>
      <c r="J87" s="29">
        <v>9603170302</v>
      </c>
      <c r="K87" s="29">
        <v>9603170313</v>
      </c>
      <c r="L87" s="29">
        <v>9603170324</v>
      </c>
      <c r="M87" s="29">
        <v>9603170335</v>
      </c>
      <c r="N87" s="29">
        <v>9603170346</v>
      </c>
      <c r="O87" s="29">
        <v>9603170357</v>
      </c>
      <c r="P87" s="29">
        <v>9603170368</v>
      </c>
      <c r="Q87" s="29">
        <v>9603170379</v>
      </c>
      <c r="R87" s="29">
        <v>9603170390</v>
      </c>
      <c r="S87" s="29">
        <v>9603170401</v>
      </c>
      <c r="T87" s="29">
        <v>9603170412</v>
      </c>
      <c r="X87" s="29">
        <f t="shared" si="5"/>
        <v>9202101447</v>
      </c>
    </row>
    <row r="88" spans="2:24" x14ac:dyDescent="0.35">
      <c r="D88">
        <f t="shared" ref="D88:D99" si="6">D87+11</f>
        <v>9603170291</v>
      </c>
      <c r="F88">
        <v>9603170291</v>
      </c>
      <c r="X88" s="29">
        <f t="shared" si="5"/>
        <v>9202101458</v>
      </c>
    </row>
    <row r="89" spans="2:24" x14ac:dyDescent="0.35">
      <c r="D89">
        <f t="shared" si="6"/>
        <v>9603170302</v>
      </c>
      <c r="F89">
        <v>9603170302</v>
      </c>
      <c r="H89" s="29">
        <v>9603170412</v>
      </c>
      <c r="I89" s="29">
        <f>H89+11</f>
        <v>9603170423</v>
      </c>
      <c r="J89" s="29">
        <f t="shared" ref="J89:T89" si="7">I89+11</f>
        <v>9603170434</v>
      </c>
      <c r="K89" s="29">
        <f t="shared" si="7"/>
        <v>9603170445</v>
      </c>
      <c r="L89" s="29">
        <f t="shared" si="7"/>
        <v>9603170456</v>
      </c>
      <c r="M89" s="29">
        <f t="shared" si="7"/>
        <v>9603170467</v>
      </c>
      <c r="N89" s="29">
        <f t="shared" si="7"/>
        <v>9603170478</v>
      </c>
      <c r="O89" s="29">
        <f t="shared" si="7"/>
        <v>9603170489</v>
      </c>
      <c r="P89">
        <f t="shared" si="7"/>
        <v>9603170500</v>
      </c>
      <c r="Q89">
        <f t="shared" si="7"/>
        <v>9603170511</v>
      </c>
      <c r="R89">
        <f t="shared" si="7"/>
        <v>9603170522</v>
      </c>
      <c r="S89">
        <f t="shared" si="7"/>
        <v>9603170533</v>
      </c>
      <c r="T89">
        <f t="shared" si="7"/>
        <v>9603170544</v>
      </c>
      <c r="X89" s="29">
        <f t="shared" si="5"/>
        <v>9202101469</v>
      </c>
    </row>
    <row r="90" spans="2:24" x14ac:dyDescent="0.35">
      <c r="D90">
        <f t="shared" si="6"/>
        <v>9603170313</v>
      </c>
      <c r="F90">
        <v>9603170313</v>
      </c>
      <c r="X90" s="29">
        <f t="shared" si="5"/>
        <v>9202101480</v>
      </c>
    </row>
    <row r="91" spans="2:24" x14ac:dyDescent="0.35">
      <c r="D91">
        <f t="shared" si="6"/>
        <v>9603170324</v>
      </c>
      <c r="F91">
        <v>9603170324</v>
      </c>
      <c r="X91" s="29">
        <f t="shared" si="5"/>
        <v>9202101491</v>
      </c>
    </row>
    <row r="92" spans="2:24" x14ac:dyDescent="0.35">
      <c r="D92">
        <f t="shared" si="6"/>
        <v>9603170335</v>
      </c>
      <c r="F92">
        <v>9603170335</v>
      </c>
      <c r="X92" s="29">
        <f t="shared" si="5"/>
        <v>9202101502</v>
      </c>
    </row>
    <row r="93" spans="2:24" x14ac:dyDescent="0.35">
      <c r="D93">
        <f t="shared" si="6"/>
        <v>9603170346</v>
      </c>
      <c r="F93">
        <v>9603170346</v>
      </c>
      <c r="X93" s="29">
        <f t="shared" si="5"/>
        <v>9202101513</v>
      </c>
    </row>
    <row r="94" spans="2:24" x14ac:dyDescent="0.35">
      <c r="D94">
        <f t="shared" si="6"/>
        <v>9603170357</v>
      </c>
      <c r="F94">
        <v>9603170357</v>
      </c>
      <c r="X94" s="29">
        <f t="shared" si="5"/>
        <v>9202101524</v>
      </c>
    </row>
    <row r="95" spans="2:24" x14ac:dyDescent="0.35">
      <c r="D95">
        <f t="shared" si="6"/>
        <v>9603170368</v>
      </c>
      <c r="F95">
        <v>9603170368</v>
      </c>
      <c r="X95" s="29">
        <f t="shared" si="5"/>
        <v>9202101535</v>
      </c>
    </row>
    <row r="96" spans="2:24" x14ac:dyDescent="0.35">
      <c r="D96">
        <f t="shared" si="6"/>
        <v>9603170379</v>
      </c>
      <c r="F96">
        <v>9603170379</v>
      </c>
      <c r="X96" s="29">
        <f t="shared" si="5"/>
        <v>9202101546</v>
      </c>
    </row>
    <row r="97" spans="4:24" x14ac:dyDescent="0.35">
      <c r="D97">
        <f t="shared" si="6"/>
        <v>9603170390</v>
      </c>
      <c r="F97">
        <v>9603170390</v>
      </c>
      <c r="X97" s="29">
        <f t="shared" si="5"/>
        <v>9202101557</v>
      </c>
    </row>
    <row r="98" spans="4:24" x14ac:dyDescent="0.35">
      <c r="D98">
        <f t="shared" si="6"/>
        <v>9603170401</v>
      </c>
      <c r="F98">
        <v>9603170401</v>
      </c>
      <c r="X98" s="29">
        <f t="shared" si="5"/>
        <v>9202101568</v>
      </c>
    </row>
    <row r="99" spans="4:24" x14ac:dyDescent="0.35">
      <c r="D99">
        <f t="shared" si="6"/>
        <v>9603170412</v>
      </c>
      <c r="F99">
        <v>9603170412</v>
      </c>
      <c r="X99" s="29">
        <f t="shared" si="5"/>
        <v>9202101579</v>
      </c>
    </row>
    <row r="100" spans="4:24" x14ac:dyDescent="0.35">
      <c r="X100" s="29">
        <f t="shared" si="5"/>
        <v>9202101590</v>
      </c>
    </row>
    <row r="101" spans="4:24" x14ac:dyDescent="0.35">
      <c r="X101" s="29">
        <f t="shared" si="5"/>
        <v>9202101601</v>
      </c>
    </row>
    <row r="102" spans="4:24" x14ac:dyDescent="0.35">
      <c r="X102" s="29">
        <f t="shared" si="5"/>
        <v>9202101612</v>
      </c>
    </row>
    <row r="103" spans="4:24" x14ac:dyDescent="0.35">
      <c r="X103" s="29">
        <f t="shared" si="5"/>
        <v>9202101623</v>
      </c>
    </row>
    <row r="104" spans="4:24" x14ac:dyDescent="0.35">
      <c r="X104" s="29">
        <f t="shared" si="5"/>
        <v>9202101634</v>
      </c>
    </row>
    <row r="105" spans="4:24" x14ac:dyDescent="0.35">
      <c r="X105" s="29">
        <f t="shared" si="5"/>
        <v>9202101645</v>
      </c>
    </row>
    <row r="106" spans="4:24" x14ac:dyDescent="0.35">
      <c r="X106" s="29">
        <f t="shared" si="5"/>
        <v>9202101656</v>
      </c>
    </row>
    <row r="107" spans="4:24" x14ac:dyDescent="0.35">
      <c r="X107" s="29">
        <f t="shared" si="5"/>
        <v>9202101667</v>
      </c>
    </row>
    <row r="108" spans="4:24" x14ac:dyDescent="0.35">
      <c r="X108" s="29">
        <f t="shared" si="5"/>
        <v>9202101678</v>
      </c>
    </row>
    <row r="109" spans="4:24" x14ac:dyDescent="0.35">
      <c r="X109" s="29">
        <f t="shared" si="5"/>
        <v>9202101689</v>
      </c>
    </row>
    <row r="110" spans="4:24" x14ac:dyDescent="0.35">
      <c r="X110" s="29">
        <f t="shared" si="5"/>
        <v>9202101700</v>
      </c>
    </row>
    <row r="111" spans="4:24" x14ac:dyDescent="0.35">
      <c r="X111" s="29">
        <f t="shared" si="5"/>
        <v>9202101711</v>
      </c>
    </row>
    <row r="112" spans="4:24" x14ac:dyDescent="0.35">
      <c r="X112" s="29">
        <f t="shared" si="5"/>
        <v>9202101722</v>
      </c>
    </row>
    <row r="113" spans="24:24" x14ac:dyDescent="0.35">
      <c r="X113" s="29">
        <f t="shared" si="5"/>
        <v>9202101733</v>
      </c>
    </row>
    <row r="114" spans="24:24" x14ac:dyDescent="0.35">
      <c r="X114" s="29">
        <f t="shared" si="5"/>
        <v>9202101744</v>
      </c>
    </row>
    <row r="115" spans="24:24" x14ac:dyDescent="0.35">
      <c r="X115" s="29">
        <f t="shared" si="5"/>
        <v>9202101755</v>
      </c>
    </row>
    <row r="116" spans="24:24" x14ac:dyDescent="0.35">
      <c r="X116" s="29">
        <f t="shared" si="5"/>
        <v>9202101766</v>
      </c>
    </row>
    <row r="117" spans="24:24" x14ac:dyDescent="0.35">
      <c r="X117" s="29">
        <f t="shared" si="5"/>
        <v>9202101777</v>
      </c>
    </row>
    <row r="118" spans="24:24" x14ac:dyDescent="0.35">
      <c r="X118" s="29">
        <f t="shared" si="5"/>
        <v>9202101788</v>
      </c>
    </row>
    <row r="119" spans="24:24" x14ac:dyDescent="0.35">
      <c r="X119" s="29">
        <f t="shared" si="5"/>
        <v>9202101799</v>
      </c>
    </row>
    <row r="120" spans="24:24" x14ac:dyDescent="0.35">
      <c r="X120" s="29">
        <f t="shared" si="5"/>
        <v>9202101810</v>
      </c>
    </row>
    <row r="121" spans="24:24" x14ac:dyDescent="0.35">
      <c r="X121" s="29">
        <f t="shared" si="5"/>
        <v>9202101821</v>
      </c>
    </row>
    <row r="122" spans="24:24" x14ac:dyDescent="0.35">
      <c r="X122" s="29">
        <f t="shared" si="5"/>
        <v>9202101832</v>
      </c>
    </row>
    <row r="123" spans="24:24" x14ac:dyDescent="0.35">
      <c r="X123" s="29">
        <f t="shared" si="5"/>
        <v>9202101843</v>
      </c>
    </row>
    <row r="124" spans="24:24" x14ac:dyDescent="0.35">
      <c r="X124" s="29">
        <f t="shared" si="5"/>
        <v>9202101854</v>
      </c>
    </row>
    <row r="125" spans="24:24" x14ac:dyDescent="0.35">
      <c r="X125" s="29">
        <f t="shared" si="5"/>
        <v>9202101865</v>
      </c>
    </row>
    <row r="126" spans="24:24" x14ac:dyDescent="0.35">
      <c r="X126" s="29">
        <f t="shared" si="5"/>
        <v>9202101876</v>
      </c>
    </row>
    <row r="127" spans="24:24" x14ac:dyDescent="0.35">
      <c r="X127" s="29">
        <f t="shared" si="5"/>
        <v>9202101887</v>
      </c>
    </row>
    <row r="128" spans="24:24" x14ac:dyDescent="0.35">
      <c r="X128" s="29">
        <f t="shared" si="5"/>
        <v>9202101898</v>
      </c>
    </row>
    <row r="129" spans="24:24" x14ac:dyDescent="0.35">
      <c r="X129" s="29">
        <f t="shared" si="5"/>
        <v>9202101909</v>
      </c>
    </row>
    <row r="130" spans="24:24" x14ac:dyDescent="0.35">
      <c r="X130" s="29">
        <f t="shared" si="5"/>
        <v>9202101920</v>
      </c>
    </row>
    <row r="131" spans="24:24" x14ac:dyDescent="0.35">
      <c r="X131" s="29">
        <f t="shared" si="5"/>
        <v>9202101931</v>
      </c>
    </row>
    <row r="132" spans="24:24" x14ac:dyDescent="0.35">
      <c r="X132" s="29">
        <f t="shared" si="5"/>
        <v>9202101942</v>
      </c>
    </row>
    <row r="133" spans="24:24" x14ac:dyDescent="0.35">
      <c r="X133" s="2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3"/>
  <sheetViews>
    <sheetView topLeftCell="F10" zoomScale="60" zoomScaleNormal="60" workbookViewId="0">
      <selection activeCell="B37" sqref="B37:F37"/>
    </sheetView>
  </sheetViews>
  <sheetFormatPr defaultColWidth="9.1796875" defaultRowHeight="14.5" x14ac:dyDescent="0.35"/>
  <cols>
    <col min="1" max="1" width="55" bestFit="1" customWidth="1"/>
    <col min="2" max="2" width="62.81640625" customWidth="1"/>
    <col min="3" max="3" width="77.453125" customWidth="1"/>
    <col min="4" max="4" width="113.81640625" style="5" customWidth="1"/>
    <col min="5" max="5" width="142.453125" style="5" customWidth="1"/>
    <col min="6" max="6" width="211.54296875" customWidth="1"/>
  </cols>
  <sheetData>
    <row r="1" spans="1:6" ht="74.25" customHeight="1" thickBot="1" x14ac:dyDescent="0.5">
      <c r="A1" s="6"/>
      <c r="B1" s="6" t="s">
        <v>328</v>
      </c>
      <c r="C1" s="6" t="s">
        <v>330</v>
      </c>
      <c r="D1" s="149" t="s">
        <v>332</v>
      </c>
      <c r="E1" s="149" t="s">
        <v>333</v>
      </c>
      <c r="F1" s="46" t="s">
        <v>334</v>
      </c>
    </row>
    <row r="2" spans="1:6" x14ac:dyDescent="0.35">
      <c r="A2" t="str">
        <f>Test_Data!D3</f>
        <v>Process</v>
      </c>
      <c r="B2" t="str">
        <f>"Private intRow" &amp; A2</f>
        <v>Private intRowProcess</v>
      </c>
      <c r="C2" t="str">
        <f>"Private str" &amp; A2</f>
        <v>Private strProcess</v>
      </c>
      <c r="D2" s="5" t="str">
        <f t="shared" ref="D2:D33" si="0">"intRow" &amp; A2 &amp; " = comExcelWorksheet.Range(""" &amp; A2 &amp; """).Row"</f>
        <v>intRowProcess = comExcelWorksheet.Range("Process").Row</v>
      </c>
      <c r="E2" s="5"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5" t="str">
        <f t="shared" si="0"/>
        <v>intRowExecutionFlag = comExcelWorksheet.Range("ExecutionFlag").Row</v>
      </c>
      <c r="E3" s="5"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5" t="str">
        <f t="shared" si="0"/>
        <v>intRowDataValidationComplete = comExcelWorksheet.Range("DataValidationComplete").Row</v>
      </c>
      <c r="E4" s="5"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5" t="str">
        <f t="shared" si="0"/>
        <v>intRowHireNameComplete = comExcelWorksheet.Range("HireNameComplete").Row</v>
      </c>
      <c r="E5" s="5"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t="str">
        <f>Test_Data!D7</f>
        <v>LastRunTimeandStatus</v>
      </c>
      <c r="B6" t="str">
        <f t="shared" si="3"/>
        <v>Private intRowLastRunTimeandStatus</v>
      </c>
      <c r="C6" t="str">
        <f t="shared" si="4"/>
        <v>Private strLastRunTimeandStatus</v>
      </c>
      <c r="D6" s="5" t="str">
        <f t="shared" si="0"/>
        <v>intRowLastRunTimeandStatus = comExcelWorksheet.Range("LastRunTimeandStatus").Row</v>
      </c>
      <c r="E6" s="5" t="str">
        <f t="shared" si="1"/>
        <v>strLastRunTimeandStatus = comExcelWorksheet.Cells(intRowLastRunTimeandStatus, intColTestColumn).Value</v>
      </c>
      <c r="F6" t="str">
        <f t="shared" si="2"/>
        <v>Public Property Get getLastRunTimeandStatus() : getLastRunTimeandStatus = strLastRunTimeandStatus : End Property</v>
      </c>
    </row>
    <row r="7" spans="1:6" x14ac:dyDescent="0.35">
      <c r="A7" t="str">
        <f>Test_Data!D8</f>
        <v>LastRunEmployeeNo</v>
      </c>
      <c r="B7" t="str">
        <f t="shared" si="3"/>
        <v>Private intRowLastRunEmployeeNo</v>
      </c>
      <c r="C7" t="str">
        <f t="shared" si="4"/>
        <v>Private strLastRunEmployeeNo</v>
      </c>
      <c r="D7" s="5" t="str">
        <f t="shared" si="0"/>
        <v>intRowLastRunEmployeeNo = comExcelWorksheet.Range("LastRunEmployeeNo").Row</v>
      </c>
      <c r="E7" s="5" t="str">
        <f t="shared" si="1"/>
        <v>strLastRunEmployeeNo = comExcelWorksheet.Cells(intRowLastRunEmployeeNo, intColTestColumn).Value</v>
      </c>
      <c r="F7" t="str">
        <f t="shared" si="2"/>
        <v>Public Property Get getLastRunEmployeeNo() : getLastRunEmployeeNo = strLastRunEmployeeNo : End Property</v>
      </c>
    </row>
    <row r="8" spans="1:6" x14ac:dyDescent="0.35">
      <c r="A8" t="str">
        <f>Test_Data!D9</f>
        <v>LastRunErrorMessage</v>
      </c>
      <c r="B8" t="str">
        <f t="shared" si="3"/>
        <v>Private intRowLastRunErrorMessage</v>
      </c>
      <c r="C8" t="str">
        <f t="shared" si="4"/>
        <v>Private strLastRunErrorMessage</v>
      </c>
      <c r="D8" s="5" t="str">
        <f t="shared" si="0"/>
        <v>intRowLastRunErrorMessage = comExcelWorksheet.Range("LastRunErrorMessage").Row</v>
      </c>
      <c r="E8" s="5"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5" t="str">
        <f t="shared" si="0"/>
        <v>intRowDefectDescription = comExcelWorksheet.Range("DefectDescription").Row</v>
      </c>
      <c r="E9" s="5"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5" t="str">
        <f t="shared" si="0"/>
        <v>intRowAutomationComments = comExcelWorksheet.Range("AutomationComments").Row</v>
      </c>
      <c r="E10" s="5"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5" t="str">
        <f t="shared" si="0"/>
        <v>intRowQAComments = comExcelWorksheet.Range("QAComments").Row</v>
      </c>
      <c r="E11" s="5"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5" t="str">
        <f t="shared" si="0"/>
        <v>intRow0 = comExcelWorksheet.Range("0").Row</v>
      </c>
      <c r="E12" s="5"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5" t="str">
        <f t="shared" si="0"/>
        <v>intRowAutomation Ref = comExcelWorksheet.Range("Automation Ref").Row</v>
      </c>
      <c r="E13" s="5"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5" t="str">
        <f t="shared" si="0"/>
        <v>intRowLogin_Username = comExcelWorksheet.Range("Login_Username").Row</v>
      </c>
      <c r="E14" s="5"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5" t="str">
        <f t="shared" si="0"/>
        <v>intRowLogin_Password = comExcelWorksheet.Range("Login_Password").Row</v>
      </c>
      <c r="E15" s="5"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5" t="str">
        <f t="shared" si="0"/>
        <v>intRowSupervisoryOrganisation_SupervisoryOrganisation = comExcelWorksheet.Range("SupervisoryOrganisation_SupervisoryOrganisation").Row</v>
      </c>
      <c r="E16" s="5"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5" t="str">
        <f t="shared" si="0"/>
        <v>intRowLegalNameInformation_Country = comExcelWorksheet.Range("LegalNameInformation_Country").Row</v>
      </c>
      <c r="E17" s="5"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LegalNameInformation_Prefix</v>
      </c>
      <c r="B18" t="str">
        <f t="shared" si="3"/>
        <v>Private intRowLegalNameInformation_Prefix</v>
      </c>
      <c r="C18" t="str">
        <f t="shared" si="4"/>
        <v>Private strLegalNameInformation_Prefix</v>
      </c>
      <c r="D18" s="5" t="str">
        <f t="shared" si="0"/>
        <v>intRowLegalNameInformation_Prefix = comExcelWorksheet.Range("LegalNameInformation_Prefix").Row</v>
      </c>
      <c r="E18" s="5"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Test_Data!D20</f>
        <v>LegalNameInformation_GivenName</v>
      </c>
      <c r="B19" t="str">
        <f t="shared" si="3"/>
        <v>Private intRowLegalNameInformation_GivenName</v>
      </c>
      <c r="C19" t="str">
        <f t="shared" si="4"/>
        <v>Private strLegalNameInformation_GivenName</v>
      </c>
      <c r="D19" s="5" t="str">
        <f t="shared" si="0"/>
        <v>intRowLegalNameInformation_GivenName = comExcelWorksheet.Range("LegalNameInformation_GivenName").Row</v>
      </c>
      <c r="E19" s="5"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Test_Data!D21</f>
        <v>LegalNameInformation_FamilyName</v>
      </c>
      <c r="B20" t="str">
        <f t="shared" si="3"/>
        <v>Private intRowLegalNameInformation_FamilyName</v>
      </c>
      <c r="C20" t="str">
        <f t="shared" si="4"/>
        <v>Private strLegalNameInformation_FamilyName</v>
      </c>
      <c r="D20" s="5" t="str">
        <f t="shared" si="0"/>
        <v>intRowLegalNameInformation_FamilyName = comExcelWorksheet.Range("LegalNameInformation_FamilyName").Row</v>
      </c>
      <c r="E20" s="5"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Test_Data!D22</f>
        <v>ContactInformation_Phone_PhoneNumber</v>
      </c>
      <c r="B21" t="str">
        <f t="shared" si="3"/>
        <v>Private intRowContactInformation_Phone_PhoneNumber</v>
      </c>
      <c r="C21" t="str">
        <f t="shared" si="4"/>
        <v>Private strContactInformation_Phone_PhoneNumber</v>
      </c>
      <c r="D21" s="5" t="str">
        <f t="shared" si="0"/>
        <v>intRowContactInformation_Phone_PhoneNumber = comExcelWorksheet.Range("ContactInformation_Phone_PhoneNumber").Row</v>
      </c>
      <c r="E21" s="5"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Test_Data!D23</f>
        <v>ContactInformation_Phone_PhoneDevice</v>
      </c>
      <c r="B22" t="str">
        <f t="shared" si="3"/>
        <v>Private intRowContactInformation_Phone_PhoneDevice</v>
      </c>
      <c r="C22" t="str">
        <f t="shared" si="4"/>
        <v>Private strContactInformation_Phone_PhoneDevice</v>
      </c>
      <c r="D22" s="5" t="str">
        <f t="shared" si="0"/>
        <v>intRowContactInformation_Phone_PhoneDevice = comExcelWorksheet.Range("ContactInformation_Phone_PhoneDevice").Row</v>
      </c>
      <c r="E22" s="5"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Test_Data!D24</f>
        <v>ContactInformation_Phone_Type</v>
      </c>
      <c r="B23" t="str">
        <f t="shared" si="3"/>
        <v>Private intRowContactInformation_Phone_Type</v>
      </c>
      <c r="C23" t="str">
        <f t="shared" si="4"/>
        <v>Private strContactInformation_Phone_Type</v>
      </c>
      <c r="D23" s="5" t="str">
        <f t="shared" si="0"/>
        <v>intRowContactInformation_Phone_Type = comExcelWorksheet.Range("ContactInformation_Phone_Type").Row</v>
      </c>
      <c r="E23" s="5"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Test_Data!D25</f>
        <v>ContactInformation_Address_EffectiveDate</v>
      </c>
      <c r="B24" t="str">
        <f t="shared" si="3"/>
        <v>Private intRowContactInformation_Address_EffectiveDate</v>
      </c>
      <c r="C24" t="str">
        <f t="shared" si="4"/>
        <v>Private strContactInformation_Address_EffectiveDate</v>
      </c>
      <c r="D24" s="5" t="str">
        <f t="shared" si="0"/>
        <v>intRowContactInformation_Address_EffectiveDate = comExcelWorksheet.Range("ContactInformation_Address_EffectiveDate").Row</v>
      </c>
      <c r="E24" s="5"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Test_Data!D26</f>
        <v>ContactInformation_Address_Country</v>
      </c>
      <c r="B25" t="str">
        <f t="shared" si="3"/>
        <v>Private intRowContactInformation_Address_Country</v>
      </c>
      <c r="C25" t="str">
        <f t="shared" si="4"/>
        <v>Private strContactInformation_Address_Country</v>
      </c>
      <c r="D25" s="5" t="str">
        <f t="shared" si="0"/>
        <v>intRowContactInformation_Address_Country = comExcelWorksheet.Range("ContactInformation_Address_Country").Row</v>
      </c>
      <c r="E25" s="5"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str">
        <f>Test_Data!D28</f>
        <v>ContactInformation_Address_AdressLine1</v>
      </c>
      <c r="B26" t="str">
        <f t="shared" si="3"/>
        <v>Private intRowContactInformation_Address_AdressLine1</v>
      </c>
      <c r="C26" t="str">
        <f t="shared" si="4"/>
        <v>Private strContactInformation_Address_AdressLine1</v>
      </c>
      <c r="D26" s="5" t="str">
        <f t="shared" si="0"/>
        <v>intRowContactInformation_Address_AdressLine1 = comExcelWorksheet.Range("ContactInformation_Address_AdressLine1").Row</v>
      </c>
      <c r="E26" s="5" t="str">
        <f t="shared" si="1"/>
        <v>strContactInformation_Address_AdressLine1 = comExcelWorksheet.Cells(intRowContactInformation_Address_AdressLine1, intColTestColumn).Value</v>
      </c>
      <c r="F26" t="str">
        <f t="shared" si="2"/>
        <v>Public Property Get getContactInformation_Address_AdressLine1() : getContactInformation_Address_AdressLine1 = strContactInformation_Address_AdressLine1 : End Property</v>
      </c>
    </row>
    <row r="27" spans="1:6" x14ac:dyDescent="0.35">
      <c r="A27" t="str">
        <f>Test_Data!D29</f>
        <v>ContactInformation_Address_AdressLine2</v>
      </c>
      <c r="B27" t="str">
        <f t="shared" si="3"/>
        <v>Private intRowContactInformation_Address_AdressLine2</v>
      </c>
      <c r="C27" t="str">
        <f t="shared" si="4"/>
        <v>Private strContactInformation_Address_AdressLine2</v>
      </c>
      <c r="D27" s="5" t="str">
        <f t="shared" si="0"/>
        <v>intRowContactInformation_Address_AdressLine2 = comExcelWorksheet.Range("ContactInformation_Address_AdressLine2").Row</v>
      </c>
      <c r="E27" s="5" t="str">
        <f t="shared" si="1"/>
        <v>strContactInformation_Address_AdressLine2 = comExcelWorksheet.Cells(intRowContactInformation_Address_AdressLine2, intColTestColumn).Value</v>
      </c>
      <c r="F27" t="str">
        <f t="shared" si="2"/>
        <v>Public Property Get getContactInformation_Address_AdressLine2() : getContactInformation_Address_AdressLine2 = strContactInformation_Address_AdressLine2 : End Property</v>
      </c>
    </row>
    <row r="28" spans="1:6" x14ac:dyDescent="0.35">
      <c r="A28" t="str">
        <f>Test_Data!D30</f>
        <v>ContactInformation_Address_AdressLine3</v>
      </c>
      <c r="B28" t="str">
        <f>"Private intRow" &amp; A28</f>
        <v>Private intRowContactInformation_Address_AdressLine3</v>
      </c>
      <c r="C28" t="str">
        <f>"Private str" &amp; A28</f>
        <v>Private strContactInformation_Address_AdressLine3</v>
      </c>
      <c r="D28" s="5" t="str">
        <f>"intRow" &amp; A28 &amp; " = comExcelWorksheet.Range(""" &amp; A28 &amp; """).Row"</f>
        <v>intRowContactInformation_Address_AdressLine3 = comExcelWorksheet.Range("ContactInformation_Address_AdressLine3").Row</v>
      </c>
      <c r="E28" s="5" t="str">
        <f>"str" &amp; A28 &amp; " = comExcelWorksheet.Cells(intRow" &amp; A28 &amp; ", intColTestColumn).Value"</f>
        <v>strContactInformation_Address_AdressLine3 = comExcelWorksheet.Cells(intRowContactInformation_Address_AdressLine3, intColTestColumn).Value</v>
      </c>
      <c r="F28" t="str">
        <f>"Public Property Get get" &amp; A28 &amp; "() : get" &amp; A28 &amp; " = str" &amp; A28 &amp; " : End Property"</f>
        <v>Public Property Get getContactInformation_Address_AdressLine3() : getContactInformation_Address_AdressLine3 = strContactInformation_Address_AdressLine3 : End Property</v>
      </c>
    </row>
    <row r="29" spans="1:6" x14ac:dyDescent="0.35">
      <c r="A29" t="str">
        <f>Test_Data!D31</f>
        <v>ContactInformation_Address_PostalCode</v>
      </c>
      <c r="B29" t="str">
        <f t="shared" si="3"/>
        <v>Private intRowContactInformation_Address_PostalCode</v>
      </c>
      <c r="C29" t="str">
        <f t="shared" si="4"/>
        <v>Private strContactInformation_Address_PostalCode</v>
      </c>
      <c r="D29" s="5" t="str">
        <f t="shared" si="0"/>
        <v>intRowContactInformation_Address_PostalCode = comExcelWorksheet.Range("ContactInformation_Address_PostalCode").Row</v>
      </c>
      <c r="E29" s="5"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Test_Data!D32</f>
        <v>ContactInformation_Address_City</v>
      </c>
      <c r="B30" t="str">
        <f t="shared" si="3"/>
        <v>Private intRowContactInformation_Address_City</v>
      </c>
      <c r="C30" t="str">
        <f t="shared" si="4"/>
        <v>Private strContactInformation_Address_City</v>
      </c>
      <c r="D30" s="5" t="str">
        <f t="shared" si="0"/>
        <v>intRowContactInformation_Address_City = comExcelWorksheet.Range("ContactInformation_Address_City").Row</v>
      </c>
      <c r="E30" s="5" t="str">
        <f t="shared" si="1"/>
        <v>strContactInformation_Address_City = comExcelWorksheet.Cells(intRowContactInformation_Address_City, intColTestColumn).Value</v>
      </c>
      <c r="F30" t="str">
        <f t="shared" si="2"/>
        <v>Public Property Get getContactInformation_Address_City() : getContactInformation_Address_City = strContactInformation_Address_City : End Property</v>
      </c>
    </row>
    <row r="31" spans="1:6" x14ac:dyDescent="0.35">
      <c r="A31" t="e">
        <f>Test_Data!#REF!</f>
        <v>#REF!</v>
      </c>
      <c r="B31" t="e">
        <f t="shared" si="3"/>
        <v>#REF!</v>
      </c>
      <c r="C31" t="e">
        <f t="shared" si="4"/>
        <v>#REF!</v>
      </c>
      <c r="D31" s="5" t="e">
        <f t="shared" si="0"/>
        <v>#REF!</v>
      </c>
      <c r="E31" s="5" t="e">
        <f t="shared" si="1"/>
        <v>#REF!</v>
      </c>
      <c r="F31" t="e">
        <f t="shared" si="2"/>
        <v>#REF!</v>
      </c>
    </row>
    <row r="32" spans="1:6" x14ac:dyDescent="0.35">
      <c r="A32" t="str">
        <f>Test_Data!D33</f>
        <v>ContactInformation_Address_Type</v>
      </c>
      <c r="B32" t="str">
        <f t="shared" si="3"/>
        <v>Private intRowContactInformation_Address_Type</v>
      </c>
      <c r="C32" t="str">
        <f t="shared" si="4"/>
        <v>Private strContactInformation_Address_Type</v>
      </c>
      <c r="D32" s="5" t="str">
        <f t="shared" si="0"/>
        <v>intRowContactInformation_Address_Type = comExcelWorksheet.Range("ContactInformation_Address_Type").Row</v>
      </c>
      <c r="E32" s="5"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Test_Data!D34</f>
        <v>ContactInformation_Address_UseFor</v>
      </c>
      <c r="B33" t="str">
        <f t="shared" si="3"/>
        <v>Private intRowContactInformation_Address_UseFor</v>
      </c>
      <c r="C33" t="str">
        <f t="shared" si="4"/>
        <v>Private strContactInformation_Address_UseFor</v>
      </c>
      <c r="D33" s="5" t="str">
        <f t="shared" si="0"/>
        <v>intRowContactInformation_Address_UseFor = comExcelWorksheet.Range("ContactInformation_Address_UseFor").Row</v>
      </c>
      <c r="E33" s="5"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Test_Data!D35</f>
        <v>ContactInformation_Email_EmailAddress</v>
      </c>
      <c r="B34" t="str">
        <f t="shared" si="3"/>
        <v>Private intRowContactInformation_Email_EmailAddress</v>
      </c>
      <c r="C34" t="str">
        <f t="shared" si="4"/>
        <v>Private strContactInformation_Email_EmailAddress</v>
      </c>
      <c r="D34" s="5" t="str">
        <f t="shared" ref="D34:D66" si="5">"intRow" &amp; A34 &amp; " = comExcelWorksheet.Range(""" &amp; A34 &amp; """).Row"</f>
        <v>intRowContactInformation_Email_EmailAddress = comExcelWorksheet.Range("ContactInformation_Email_EmailAddress").Row</v>
      </c>
      <c r="E34" s="5"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Test_Data!D36</f>
        <v>ContactInformation_Email_Type</v>
      </c>
      <c r="B35" t="str">
        <f t="shared" si="3"/>
        <v>Private intRowContactInformation_Email_Type</v>
      </c>
      <c r="C35" t="str">
        <f t="shared" si="4"/>
        <v>Private strContactInformation_Email_Type</v>
      </c>
      <c r="D35" s="5" t="str">
        <f t="shared" si="5"/>
        <v>intRowContactInformation_Email_Type = comExcelWorksheet.Range("ContactInformation_Email_Type").Row</v>
      </c>
      <c r="E35" s="5"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Test_Data!D37</f>
        <v>JobDetails_HireDate</v>
      </c>
      <c r="B36" t="str">
        <f t="shared" si="3"/>
        <v>Private intRowJobDetails_HireDate</v>
      </c>
      <c r="C36" t="str">
        <f t="shared" si="4"/>
        <v>Private strJobDetails_HireDate</v>
      </c>
      <c r="D36" s="5" t="str">
        <f t="shared" si="5"/>
        <v>intRowJobDetails_HireDate = comExcelWorksheet.Range("JobDetails_HireDate").Row</v>
      </c>
      <c r="E36" s="5"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str">
        <f>Test_Data!D38</f>
        <v>ManageProbationPeriod_ProbationEndDate</v>
      </c>
      <c r="B37" t="str">
        <f t="shared" si="3"/>
        <v>Private intRowManageProbationPeriod_ProbationEndDate</v>
      </c>
      <c r="C37" t="str">
        <f>"Private str" &amp; A37</f>
        <v>Private strManageProbationPeriod_ProbationEndDate</v>
      </c>
      <c r="D37" s="5" t="str">
        <f>"intRow" &amp; A37 &amp; " = comExcelWorksheet.Range(""" &amp; A37 &amp; """).Row"</f>
        <v>intRowManageProbationPeriod_ProbationEndDate = comExcelWorksheet.Range("ManageProbationPeriod_ProbationEndDate").Row</v>
      </c>
      <c r="E37" s="5" t="str">
        <f>"str" &amp; A37 &amp; " = comExcelWorksheet.Cells(intRow" &amp; A37 &amp; ", intColTestColumn).Value"</f>
        <v>strManageProbationPeriod_ProbationEndDate = comExcelWorksheet.Cells(intRowManageProbationPeriod_ProbationEndDate, intColTestColumn).Value</v>
      </c>
      <c r="F37" t="str">
        <f>"Public Property Get get" &amp; A37 &amp; "() : get" &amp; A37 &amp; " = str" &amp; A37 &amp; " : End Property"</f>
        <v>Public Property Get getManageProbationPeriod_ProbationEndDate() : getManageProbationPeriod_ProbationEndDate = strManageProbationPeriod_ProbationEndDate : End Property</v>
      </c>
    </row>
    <row r="38" spans="1:6" x14ac:dyDescent="0.35">
      <c r="A38" t="str">
        <f>Test_Data!D39</f>
        <v>JobDetails_Reason</v>
      </c>
      <c r="B38" t="str">
        <f t="shared" si="3"/>
        <v>Private intRowJobDetails_Reason</v>
      </c>
      <c r="C38" t="str">
        <f t="shared" si="4"/>
        <v>Private strJobDetails_Reason</v>
      </c>
      <c r="D38" s="5" t="str">
        <f t="shared" si="5"/>
        <v>intRowJobDetails_Reason = comExcelWorksheet.Range("JobDetails_Reason").Row</v>
      </c>
      <c r="E38" s="5"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Test_Data!D40</f>
        <v>JobDetails_Position</v>
      </c>
      <c r="B39" t="str">
        <f t="shared" si="3"/>
        <v>Private intRowJobDetails_Position</v>
      </c>
      <c r="C39" t="str">
        <f t="shared" si="4"/>
        <v>Private strJobDetails_Position</v>
      </c>
      <c r="D39" s="5" t="str">
        <f>"intRow" &amp; A39 &amp; " = comExcelWorksheet.Range(""" &amp; A39 &amp; """).Row"</f>
        <v>intRowJobDetails_Position = comExcelWorksheet.Range("JobDetails_Position").Row</v>
      </c>
      <c r="E39" s="5"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Test_Data!D41</f>
        <v>JobDetails_EmployeeType</v>
      </c>
      <c r="B40" t="str">
        <f t="shared" si="3"/>
        <v>Private intRowJobDetails_EmployeeType</v>
      </c>
      <c r="C40" t="str">
        <f t="shared" si="4"/>
        <v>Private strJobDetails_EmployeeType</v>
      </c>
      <c r="D40" s="5" t="str">
        <f t="shared" si="5"/>
        <v>intRowJobDetails_EmployeeType = comExcelWorksheet.Range("JobDetails_EmployeeType").Row</v>
      </c>
      <c r="E40" s="5"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Test_Data!D42</f>
        <v>JobDetails_JobProfile</v>
      </c>
      <c r="B41" t="str">
        <f t="shared" si="3"/>
        <v>Private intRowJobDetails_JobProfile</v>
      </c>
      <c r="C41" t="str">
        <f t="shared" si="4"/>
        <v>Private strJobDetails_JobProfile</v>
      </c>
      <c r="D41" s="5" t="str">
        <f t="shared" si="5"/>
        <v>intRowJobDetails_JobProfile = comExcelWorksheet.Range("JobDetails_JobProfile").Row</v>
      </c>
      <c r="E41" s="5"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Test_Data!D43</f>
        <v>JobDetails_TimeType</v>
      </c>
      <c r="B42" t="str">
        <f t="shared" si="3"/>
        <v>Private intRowJobDetails_TimeType</v>
      </c>
      <c r="C42" t="str">
        <f t="shared" si="4"/>
        <v>Private strJobDetails_TimeType</v>
      </c>
      <c r="D42" s="5" t="str">
        <f t="shared" si="5"/>
        <v>intRowJobDetails_TimeType = comExcelWorksheet.Range("JobDetails_TimeType").Row</v>
      </c>
      <c r="E42" s="5"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Test_Data!D44</f>
        <v>JobDetails_Location</v>
      </c>
      <c r="B43" t="str">
        <f t="shared" si="3"/>
        <v>Private intRowJobDetails_Location</v>
      </c>
      <c r="C43" t="str">
        <f t="shared" si="4"/>
        <v>Private strJobDetails_Location</v>
      </c>
      <c r="D43" s="5" t="str">
        <f t="shared" si="5"/>
        <v>intRowJobDetails_Location = comExcelWorksheet.Range("JobDetails_Location").Row</v>
      </c>
      <c r="E43" s="5" t="str">
        <f t="shared" si="6"/>
        <v>strJobDetails_Location = comExcelWorksheet.Cells(intRowJobDetails_Location, intColTestColumn).Value</v>
      </c>
      <c r="F43" t="str">
        <f t="shared" si="7"/>
        <v>Public Property Get getJobDetails_Location() : getJobDetails_Location = strJobDetails_Location : End Property</v>
      </c>
    </row>
    <row r="44" spans="1:6" s="29" customFormat="1" x14ac:dyDescent="0.35">
      <c r="A44" s="29" t="str">
        <f>Test_Data!D45</f>
        <v>JobDetails_PayRateType</v>
      </c>
      <c r="B44" s="29" t="str">
        <f t="shared" si="3"/>
        <v>Private intRowJobDetails_PayRateType</v>
      </c>
      <c r="C44" s="29" t="str">
        <f t="shared" si="4"/>
        <v>Private strJobDetails_PayRateType</v>
      </c>
      <c r="D44" s="189" t="str">
        <f t="shared" si="5"/>
        <v>intRowJobDetails_PayRateType = comExcelWorksheet.Range("JobDetails_PayRateType").Row</v>
      </c>
      <c r="E44" s="189" t="str">
        <f t="shared" si="6"/>
        <v>strJobDetails_PayRateType = comExcelWorksheet.Cells(intRowJobDetails_PayRateType, intColTestColumn).Value</v>
      </c>
      <c r="F44" s="29" t="str">
        <f t="shared" si="7"/>
        <v>Public Property Get getJobDetails_PayRateType() : getJobDetails_PayRateType = strJobDetails_PayRateType : End Property</v>
      </c>
    </row>
    <row r="45" spans="1:6" x14ac:dyDescent="0.35">
      <c r="A45" t="str">
        <f>Test_Data!D46</f>
        <v>JobDetails_AdditionalInformation_ScheduledWeeklyHours</v>
      </c>
      <c r="B45" t="str">
        <f t="shared" si="3"/>
        <v>Private intRowJobDetails_AdditionalInformation_ScheduledWeeklyHours</v>
      </c>
      <c r="C45" t="str">
        <f t="shared" si="4"/>
        <v>Private strJobDetails_AdditionalInformation_ScheduledWeeklyHours</v>
      </c>
      <c r="D45" s="5" t="str">
        <f t="shared" si="5"/>
        <v>intRowJobDetails_AdditionalInformation_ScheduledWeeklyHours = comExcelWorksheet.Range("JobDetails_AdditionalInformation_ScheduledWeeklyHours").Row</v>
      </c>
      <c r="E45" s="5" t="str">
        <f t="shared" si="6"/>
        <v>strJobDetails_AdditionalInformation_ScheduledWeeklyHours = comExcelWorksheet.Cells(intRowJobDetails_AdditionalInformation_ScheduledWeeklyHours, intColTestColumn).Value</v>
      </c>
      <c r="F45" t="str">
        <f t="shared" si="7"/>
        <v>Public Property Get getJobDetails_AdditionalInformation_ScheduledWeeklyHours() : getJobDetails_AdditionalInformation_ScheduledWeeklyHours = strJobDetails_AdditionalInformation_ScheduledWeeklyHours : End Property</v>
      </c>
    </row>
    <row r="46" spans="1:6" x14ac:dyDescent="0.35">
      <c r="A46" t="str">
        <f>Test_Data!D47</f>
        <v>JobDetails_AdditionalInformation_AdditionalJobClassifications</v>
      </c>
      <c r="B46" t="str">
        <f t="shared" si="3"/>
        <v>Private intRowJobDetails_AdditionalInformation_AdditionalJobClassifications</v>
      </c>
      <c r="C46" t="str">
        <f t="shared" si="4"/>
        <v>Private strJobDetails_AdditionalInformation_AdditionalJobClassifications</v>
      </c>
      <c r="D46" s="5" t="str">
        <f t="shared" si="5"/>
        <v>intRowJobDetails_AdditionalInformation_AdditionalJobClassifications = comExcelWorksheet.Range("JobDetails_AdditionalInformation_AdditionalJobClassifications").Row</v>
      </c>
      <c r="E46" s="5" t="str">
        <f t="shared" si="6"/>
        <v>strJobDetails_AdditionalInformation_AdditionalJobClassifications = comExcelWorksheet.Cells(intRowJobDetails_AdditionalInformation_AdditionalJobClassifications, intColTestColumn).Value</v>
      </c>
      <c r="F46" t="str">
        <f t="shared" si="7"/>
        <v>Public Property Get getJobDetails_AdditionalInformation_AdditionalJobClassifications() : getJobDetails_AdditionalInformation_AdditionalJobClassifications = strJobDetails_AdditionalInformation_AdditionalJobClassifications : End Property</v>
      </c>
    </row>
    <row r="47" spans="1:6" x14ac:dyDescent="0.35">
      <c r="A47" t="str">
        <f>Test_Data!D48</f>
        <v>JobDetails_AdditionalInformation_WorkShift</v>
      </c>
      <c r="B47" t="str">
        <f t="shared" si="3"/>
        <v>Private intRowJobDetails_AdditionalInformation_WorkShift</v>
      </c>
      <c r="C47" t="str">
        <f t="shared" si="4"/>
        <v>Private strJobDetails_AdditionalInformation_WorkShift</v>
      </c>
      <c r="D47" s="5" t="str">
        <f t="shared" si="5"/>
        <v>intRowJobDetails_AdditionalInformation_WorkShift = comExcelWorksheet.Range("JobDetails_AdditionalInformation_WorkShift").Row</v>
      </c>
      <c r="E47" s="5"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str">
        <f>Test_Data!D49</f>
        <v>JobDetails_AdditionalInformation_EndEmploymentDate</v>
      </c>
      <c r="B48" t="str">
        <f t="shared" si="3"/>
        <v>Private intRowJobDetails_AdditionalInformation_EndEmploymentDate</v>
      </c>
      <c r="C48" t="str">
        <f t="shared" si="4"/>
        <v>Private strJobDetails_AdditionalInformation_EndEmploymentDate</v>
      </c>
      <c r="D48" s="5" t="str">
        <f t="shared" si="5"/>
        <v>intRowJobDetails_AdditionalInformation_EndEmploymentDate = comExcelWorksheet.Range("JobDetails_AdditionalInformation_EndEmploymentDate").Row</v>
      </c>
      <c r="E48" s="5" t="str">
        <f t="shared" si="6"/>
        <v>strJobDetails_AdditionalInformation_EndEmploymentDate = comExcelWorksheet.Cells(intRowJobDetails_AdditionalInformation_EndEmploymentDate, intColTestColumn).Value</v>
      </c>
      <c r="F48" t="str">
        <f t="shared" si="7"/>
        <v>Public Property Get getJobDetails_AdditionalInformation_EndEmploymentDate() : getJobDetails_AdditionalInformation_EndEmploymentDate = strJobDetails_AdditionalInformation_EndEmploymentDate : End Property</v>
      </c>
    </row>
    <row r="49" spans="1:6" x14ac:dyDescent="0.35">
      <c r="A49" t="str">
        <f>Test_Data!D50</f>
        <v>JobDetails_AdditionalInformation_Comments</v>
      </c>
      <c r="B49" t="str">
        <f t="shared" si="3"/>
        <v>Private intRowJobDetails_AdditionalInformation_Comments</v>
      </c>
      <c r="C49" t="str">
        <f t="shared" si="4"/>
        <v>Private strJobDetails_AdditionalInformation_Comments</v>
      </c>
      <c r="D49" s="5" t="str">
        <f t="shared" si="5"/>
        <v>intRowJobDetails_AdditionalInformation_Comments = comExcelWorksheet.Range("JobDetails_AdditionalInformation_Comments").Row</v>
      </c>
      <c r="E49" s="5" t="str">
        <f t="shared" si="6"/>
        <v>strJobDetails_AdditionalInformation_Comments = comExcelWorksheet.Cells(intRowJobDetails_AdditionalInformation_Comments, intColTestColumn).Value</v>
      </c>
      <c r="F49" t="str">
        <f t="shared" si="7"/>
        <v>Public Property Get getJobDetails_AdditionalInformation_Comments() : getJobDetails_AdditionalInformation_Comments = strJobDetails_AdditionalInformation_Comments : End Property</v>
      </c>
    </row>
    <row r="50" spans="1:6" x14ac:dyDescent="0.35">
      <c r="A50" t="str">
        <f>Test_Data!D51</f>
        <v>ChangeOrganizationAssignments_CostCenter</v>
      </c>
      <c r="B50" t="str">
        <f t="shared" si="3"/>
        <v>Private intRowChangeOrganizationAssignments_CostCenter</v>
      </c>
      <c r="C50" t="str">
        <f t="shared" si="4"/>
        <v>Private strChangeOrganizationAssignments_CostCenter</v>
      </c>
      <c r="D50" s="5" t="str">
        <f t="shared" si="5"/>
        <v>intRowChangeOrganizationAssignments_CostCenter = comExcelWorksheet.Range("ChangeOrganizationAssignments_CostCenter").Row</v>
      </c>
      <c r="E50" s="5"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Test_Data!D52</f>
        <v>ChangeOrganizationAssignments_DepartmentSection</v>
      </c>
      <c r="B51" t="str">
        <f t="shared" si="3"/>
        <v>Private intRowChangeOrganizationAssignments_DepartmentSection</v>
      </c>
      <c r="C51" t="str">
        <f t="shared" si="4"/>
        <v>Private strChangeOrganizationAssignments_DepartmentSection</v>
      </c>
      <c r="D51" s="5" t="str">
        <f t="shared" si="5"/>
        <v>intRowChangeOrganizationAssignments_DepartmentSection = comExcelWorksheet.Range("ChangeOrganizationAssignments_DepartmentSection").Row</v>
      </c>
      <c r="E51" s="5"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5" t="e">
        <f t="shared" si="5"/>
        <v>#REF!</v>
      </c>
      <c r="E52" s="5" t="e">
        <f t="shared" si="6"/>
        <v>#REF!</v>
      </c>
      <c r="F52" t="e">
        <f t="shared" si="7"/>
        <v>#REF!</v>
      </c>
    </row>
    <row r="53" spans="1:6" x14ac:dyDescent="0.35">
      <c r="A53" t="e">
        <f>Test_Data!#REF!</f>
        <v>#REF!</v>
      </c>
      <c r="B53" t="e">
        <f t="shared" si="3"/>
        <v>#REF!</v>
      </c>
      <c r="C53" t="e">
        <f t="shared" si="4"/>
        <v>#REF!</v>
      </c>
      <c r="D53" s="5" t="e">
        <f t="shared" si="5"/>
        <v>#REF!</v>
      </c>
      <c r="E53" s="5" t="e">
        <f t="shared" si="6"/>
        <v>#REF!</v>
      </c>
      <c r="F53" t="e">
        <f t="shared" si="7"/>
        <v>#REF!</v>
      </c>
    </row>
    <row r="54" spans="1:6" x14ac:dyDescent="0.35">
      <c r="A54" t="str">
        <f>Test_Data!D53</f>
        <v>ChangeMyGovernmentIDs_NationalIDs_Country1</v>
      </c>
      <c r="B54" t="str">
        <f t="shared" si="3"/>
        <v>Private intRowChangeMyGovernmentIDs_NationalIDs_Country1</v>
      </c>
      <c r="C54" t="str">
        <f t="shared" si="4"/>
        <v>Private strChangeMyGovernmentIDs_NationalIDs_Country1</v>
      </c>
      <c r="D54" s="5" t="str">
        <f t="shared" si="5"/>
        <v>intRowChangeMyGovernmentIDs_NationalIDs_Country1 = comExcelWorksheet.Range("ChangeMyGovernmentIDs_NationalIDs_Country1").Row</v>
      </c>
      <c r="E54" s="5"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Test_Data!D56</f>
        <v>ChangeMyGovernmentIDs_NationalIDs_NationalIDType1</v>
      </c>
      <c r="B55" t="str">
        <f t="shared" si="3"/>
        <v>Private intRowChangeMyGovernmentIDs_NationalIDs_NationalIDType1</v>
      </c>
      <c r="C55" t="str">
        <f t="shared" si="4"/>
        <v>Private strChangeMyGovernmentIDs_NationalIDs_NationalIDType1</v>
      </c>
      <c r="D55" s="5" t="str">
        <f t="shared" si="5"/>
        <v>intRowChangeMyGovernmentIDs_NationalIDs_NationalIDType1 = comExcelWorksheet.Range("ChangeMyGovernmentIDs_NationalIDs_NationalIDType1").Row</v>
      </c>
      <c r="E55" s="5"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Test_Data!D57</f>
        <v>ChangeMyGovernmentIDs_NationalIDs_AddEditID1</v>
      </c>
      <c r="B56" t="str">
        <f t="shared" si="3"/>
        <v>Private intRowChangeMyGovernmentIDs_NationalIDs_AddEditID1</v>
      </c>
      <c r="C56" t="str">
        <f t="shared" si="4"/>
        <v>Private strChangeMyGovernmentIDs_NationalIDs_AddEditID1</v>
      </c>
      <c r="D56" s="5" t="str">
        <f t="shared" si="5"/>
        <v>intRowChangeMyGovernmentIDs_NationalIDs_AddEditID1 = comExcelWorksheet.Range("ChangeMyGovernmentIDs_NationalIDs_AddEditID1").Row</v>
      </c>
      <c r="E56" s="5"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5" t="e">
        <f t="shared" si="5"/>
        <v>#REF!</v>
      </c>
      <c r="E57" s="5" t="e">
        <f t="shared" si="6"/>
        <v>#REF!</v>
      </c>
      <c r="F57" t="e">
        <f t="shared" si="7"/>
        <v>#REF!</v>
      </c>
    </row>
    <row r="58" spans="1:6" x14ac:dyDescent="0.35">
      <c r="A58" t="e">
        <f>Test_Data!#REF!</f>
        <v>#REF!</v>
      </c>
      <c r="B58" t="e">
        <f t="shared" si="3"/>
        <v>#REF!</v>
      </c>
      <c r="C58" t="e">
        <f t="shared" si="4"/>
        <v>#REF!</v>
      </c>
      <c r="D58" s="5" t="e">
        <f t="shared" si="5"/>
        <v>#REF!</v>
      </c>
      <c r="E58" s="5" t="e">
        <f t="shared" si="6"/>
        <v>#REF!</v>
      </c>
      <c r="F58" t="e">
        <f t="shared" si="7"/>
        <v>#REF!</v>
      </c>
    </row>
    <row r="59" spans="1:6" x14ac:dyDescent="0.35">
      <c r="A59" t="e">
        <f>Test_Data!#REF!</f>
        <v>#REF!</v>
      </c>
      <c r="B59" t="e">
        <f t="shared" si="3"/>
        <v>#REF!</v>
      </c>
      <c r="C59" t="e">
        <f t="shared" si="4"/>
        <v>#REF!</v>
      </c>
      <c r="D59" s="5" t="e">
        <f t="shared" si="5"/>
        <v>#REF!</v>
      </c>
      <c r="E59" s="5" t="e">
        <f t="shared" si="6"/>
        <v>#REF!</v>
      </c>
      <c r="F59" t="e">
        <f t="shared" si="7"/>
        <v>#REF!</v>
      </c>
    </row>
    <row r="60" spans="1:6" x14ac:dyDescent="0.35">
      <c r="A60" t="e">
        <f>Test_Data!#REF!</f>
        <v>#REF!</v>
      </c>
      <c r="B60" t="e">
        <f t="shared" si="3"/>
        <v>#REF!</v>
      </c>
      <c r="C60" t="e">
        <f t="shared" si="4"/>
        <v>#REF!</v>
      </c>
      <c r="D60" s="5" t="e">
        <f t="shared" si="5"/>
        <v>#REF!</v>
      </c>
      <c r="E60" s="5" t="e">
        <f t="shared" si="6"/>
        <v>#REF!</v>
      </c>
      <c r="F60" t="e">
        <f t="shared" si="7"/>
        <v>#REF!</v>
      </c>
    </row>
    <row r="61" spans="1:6" x14ac:dyDescent="0.35">
      <c r="A61" t="str">
        <f>Test_Data!D58</f>
        <v>ChangeMyPersonalInformation_Gender</v>
      </c>
      <c r="B61" t="str">
        <f t="shared" si="3"/>
        <v>Private intRowChangeMyPersonalInformation_Gender</v>
      </c>
      <c r="C61" t="str">
        <f t="shared" si="4"/>
        <v>Private strChangeMyPersonalInformation_Gender</v>
      </c>
      <c r="D61" s="5" t="str">
        <f t="shared" si="5"/>
        <v>intRowChangeMyPersonalInformation_Gender = comExcelWorksheet.Range("ChangeMyPersonalInformation_Gender").Row</v>
      </c>
      <c r="E61" s="5"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Test_Data!D59</f>
        <v>ChangeMyPersonalInformation_DateOfBirth</v>
      </c>
      <c r="B62" t="str">
        <f t="shared" si="3"/>
        <v>Private intRowChangeMyPersonalInformation_DateOfBirth</v>
      </c>
      <c r="C62" t="str">
        <f t="shared" si="4"/>
        <v>Private strChangeMyPersonalInformation_DateOfBirth</v>
      </c>
      <c r="D62" s="5" t="str">
        <f t="shared" si="5"/>
        <v>intRowChangeMyPersonalInformation_DateOfBirth = comExcelWorksheet.Range("ChangeMyPersonalInformation_DateOfBirth").Row</v>
      </c>
      <c r="E62" s="5"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29" customFormat="1" x14ac:dyDescent="0.35">
      <c r="A63" s="29" t="str">
        <f>Test_Data!D60</f>
        <v>ChangeMyPersonalInformation_CountryOfBirth</v>
      </c>
      <c r="B63" s="29" t="str">
        <f t="shared" si="3"/>
        <v>Private intRowChangeMyPersonalInformation_CountryOfBirth</v>
      </c>
      <c r="C63" s="29" t="str">
        <f t="shared" si="4"/>
        <v>Private strChangeMyPersonalInformation_CountryOfBirth</v>
      </c>
      <c r="D63" s="189" t="str">
        <f t="shared" si="5"/>
        <v>intRowChangeMyPersonalInformation_CountryOfBirth = comExcelWorksheet.Range("ChangeMyPersonalInformation_CountryOfBirth").Row</v>
      </c>
      <c r="E63" s="189" t="str">
        <f t="shared" si="6"/>
        <v>strChangeMyPersonalInformation_CountryOfBirth = comExcelWorksheet.Cells(intRowChangeMyPersonalInformation_CountryOfBirth, intColTestColumn).Value</v>
      </c>
      <c r="F63" s="29" t="str">
        <f t="shared" si="7"/>
        <v>Public Property Get getChangeMyPersonalInformation_CountryOfBirth() : getChangeMyPersonalInformation_CountryOfBirth = strChangeMyPersonalInformation_CountryOfBirth : End Property</v>
      </c>
    </row>
    <row r="64" spans="1:6" s="29" customFormat="1" x14ac:dyDescent="0.35">
      <c r="A64" s="29" t="str">
        <f>Test_Data!D61</f>
        <v>ChangeMyPersonalInformation_RegionOfBirth</v>
      </c>
      <c r="B64" s="29" t="str">
        <f t="shared" si="3"/>
        <v>Private intRowChangeMyPersonalInformation_RegionOfBirth</v>
      </c>
      <c r="C64" s="29" t="str">
        <f t="shared" si="4"/>
        <v>Private strChangeMyPersonalInformation_RegionOfBirth</v>
      </c>
      <c r="D64" s="189" t="str">
        <f t="shared" si="5"/>
        <v>intRowChangeMyPersonalInformation_RegionOfBirth = comExcelWorksheet.Range("ChangeMyPersonalInformation_RegionOfBirth").Row</v>
      </c>
      <c r="E64" s="189" t="str">
        <f t="shared" si="6"/>
        <v>strChangeMyPersonalInformation_RegionOfBirth = comExcelWorksheet.Cells(intRowChangeMyPersonalInformation_RegionOfBirth, intColTestColumn).Value</v>
      </c>
      <c r="F64" s="29" t="str">
        <f t="shared" si="7"/>
        <v>Public Property Get getChangeMyPersonalInformation_RegionOfBirth() : getChangeMyPersonalInformation_RegionOfBirth = strChangeMyPersonalInformation_RegionOfBirth : End Property</v>
      </c>
    </row>
    <row r="65" spans="1:6" x14ac:dyDescent="0.35">
      <c r="A65" t="str">
        <f>Test_Data!D62</f>
        <v>ChangeMyPersonalInformation_CityOfBirth</v>
      </c>
      <c r="B65" t="str">
        <f t="shared" si="3"/>
        <v>Private intRowChangeMyPersonalInformation_CityOfBirth</v>
      </c>
      <c r="C65" t="str">
        <f t="shared" si="4"/>
        <v>Private strChangeMyPersonalInformation_CityOfBirth</v>
      </c>
      <c r="D65" s="5" t="str">
        <f t="shared" si="5"/>
        <v>intRowChangeMyPersonalInformation_CityOfBirth = comExcelWorksheet.Range("ChangeMyPersonalInformation_CityOfBirth").Row</v>
      </c>
      <c r="E65" s="5" t="str">
        <f t="shared" si="6"/>
        <v>strChangeMyPersonalInformation_CityOfBirth = comExcelWorksheet.Cells(intRowChangeMyPersonalInformation_CityOfBirth, intColTestColumn).Value</v>
      </c>
      <c r="F65" t="str">
        <f t="shared" si="7"/>
        <v>Public Property Get getChangeMyPersonalInformation_CityOfBirth() : getChangeMyPersonalInformation_CityOfBirth = strChangeMyPersonalInformation_CityOfBirth : End Property</v>
      </c>
    </row>
    <row r="66" spans="1:6" x14ac:dyDescent="0.35">
      <c r="A66" t="str">
        <f>Test_Data!D63</f>
        <v>ChangeMyPersonalInformation_MaritalStatus</v>
      </c>
      <c r="B66" t="str">
        <f t="shared" si="3"/>
        <v>Private intRowChangeMyPersonalInformation_MaritalStatus</v>
      </c>
      <c r="C66" t="str">
        <f t="shared" si="4"/>
        <v>Private strChangeMyPersonalInformation_MaritalStatus</v>
      </c>
      <c r="D66" s="5" t="str">
        <f t="shared" si="5"/>
        <v>intRowChangeMyPersonalInformation_MaritalStatus = comExcelWorksheet.Range("ChangeMyPersonalInformation_MaritalStatus").Row</v>
      </c>
      <c r="E66" s="5" t="str">
        <f t="shared" si="6"/>
        <v>strChangeMyPersonalInformation_MaritalStatus = comExcelWorksheet.Cells(intRowChangeMyPersonalInformation_MaritalStatus, intColTestColumn).Value</v>
      </c>
      <c r="F66" t="str">
        <f t="shared" si="7"/>
        <v>Public Property Get getChangeMyPersonalInformation_MaritalStatus() : getChangeMyPersonalInformation_MaritalStatus = strChangeMyPersonalInformation_MaritalStatus : End Property</v>
      </c>
    </row>
    <row r="67" spans="1:6" x14ac:dyDescent="0.35">
      <c r="A67" t="str">
        <f>Test_Data!D64</f>
        <v>ChangeMyPersonalInformation_MaritalStatusDate</v>
      </c>
      <c r="B67" t="str">
        <f t="shared" ref="B67:B89" si="8">"Private intRow" &amp; A67</f>
        <v>Private intRowChangeMyPersonalInformation_MaritalStatusDate</v>
      </c>
      <c r="C67" t="str">
        <f t="shared" si="4"/>
        <v>Private strChangeMyPersonalInformation_MaritalStatusDate</v>
      </c>
      <c r="D67" s="5" t="str">
        <f t="shared" ref="D67:D74" si="9">"intRow" &amp; A67 &amp; " = comExcelWorksheet.Range(""" &amp; A67 &amp; """).Row"</f>
        <v>intRowChangeMyPersonalInformation_MaritalStatusDate = comExcelWorksheet.Range("ChangeMyPersonalInformation_MaritalStatusDate").Row</v>
      </c>
      <c r="E67" s="5" t="str">
        <f t="shared" si="6"/>
        <v>strChangeMyPersonalInformation_MaritalStatusDate = comExcelWorksheet.Cells(intRowChangeMyPersonalInformation_MaritalStatusDate, intColTestColumn).Value</v>
      </c>
      <c r="F67" t="str">
        <f t="shared" ref="F67:F74" si="10">"Public Property Get get" &amp; A67 &amp; "() : get" &amp; A67 &amp; " = str" &amp; A67 &amp; " : End Property"</f>
        <v>Public Property Get getChangeMyPersonalInformation_MaritalStatusDate() : getChangeMyPersonalInformation_MaritalStatusDate = strChangeMyPersonalInformation_MaritalStatusDate : End Property</v>
      </c>
    </row>
    <row r="68" spans="1:6" s="29" customFormat="1" x14ac:dyDescent="0.35">
      <c r="A68" s="29" t="str">
        <f>Test_Data!D65</f>
        <v>ChangeMyPersonalInformation_RaceEthnicity</v>
      </c>
      <c r="B68" s="29" t="str">
        <f t="shared" si="8"/>
        <v>Private intRowChangeMyPersonalInformation_RaceEthnicity</v>
      </c>
      <c r="C68" s="29" t="str">
        <f t="shared" ref="C68:C89" si="11">"Private str" &amp; A68</f>
        <v>Private strChangeMyPersonalInformation_RaceEthnicity</v>
      </c>
      <c r="D68" s="189" t="str">
        <f t="shared" si="9"/>
        <v>intRowChangeMyPersonalInformation_RaceEthnicity = comExcelWorksheet.Range("ChangeMyPersonalInformation_RaceEthnicity").Row</v>
      </c>
      <c r="E68" s="189" t="str">
        <f t="shared" si="6"/>
        <v>strChangeMyPersonalInformation_RaceEthnicity = comExcelWorksheet.Cells(intRowChangeMyPersonalInformation_RaceEthnicity, intColTestColumn).Value</v>
      </c>
      <c r="F68" s="29" t="str">
        <f t="shared" si="10"/>
        <v>Public Property Get getChangeMyPersonalInformation_RaceEthnicity() : getChangeMyPersonalInformation_RaceEthnicity = strChangeMyPersonalInformation_RaceEthnicity : End Property</v>
      </c>
    </row>
    <row r="69" spans="1:6" x14ac:dyDescent="0.35">
      <c r="A69" t="str">
        <f>Test_Data!D66</f>
        <v>ChangeMyPersonalInformation_PrimaryNationality</v>
      </c>
      <c r="B69" t="str">
        <f t="shared" si="8"/>
        <v>Private intRowChangeMyPersonalInformation_PrimaryNationality</v>
      </c>
      <c r="C69" t="str">
        <f t="shared" si="11"/>
        <v>Private strChangeMyPersonalInformation_PrimaryNationality</v>
      </c>
      <c r="D69" s="5" t="str">
        <f t="shared" si="9"/>
        <v>intRowChangeMyPersonalInformation_PrimaryNationality = comExcelWorksheet.Range("ChangeMyPersonalInformation_PrimaryNationality").Row</v>
      </c>
      <c r="E69" s="5" t="str">
        <f t="shared" ref="E69:E89" si="12">"str" &amp; A69 &amp; " = comExcelWorksheet.Cells(intRow" &amp; A69 &amp; ", intColTestColumn).Value"</f>
        <v>strChangeMyPersonalInformation_PrimaryNationality = comExcelWorksheet.Cells(intRowChangeMyPersonalInformation_PrimaryNationality, intColTestColumn).Value</v>
      </c>
      <c r="F69" t="str">
        <f t="shared" si="10"/>
        <v>Public Property Get getChangeMyPersonalInformation_PrimaryNationality() : getChangeMyPersonalInformation_PrimaryNationality = strChangeMyPersonalInformation_PrimaryNationality : End Property</v>
      </c>
    </row>
    <row r="70" spans="1:6" x14ac:dyDescent="0.35">
      <c r="A70" t="e">
        <f>Test_Data!#REF!</f>
        <v>#REF!</v>
      </c>
      <c r="B70" t="e">
        <f t="shared" si="8"/>
        <v>#REF!</v>
      </c>
      <c r="C70" t="e">
        <f t="shared" si="11"/>
        <v>#REF!</v>
      </c>
      <c r="D70" s="5" t="e">
        <f t="shared" si="9"/>
        <v>#REF!</v>
      </c>
      <c r="E70" s="5" t="e">
        <f t="shared" si="12"/>
        <v>#REF!</v>
      </c>
      <c r="F70" t="e">
        <f t="shared" si="10"/>
        <v>#REF!</v>
      </c>
    </row>
    <row r="71" spans="1:6" x14ac:dyDescent="0.35">
      <c r="A71" t="e">
        <f>Test_Data!#REF!</f>
        <v>#REF!</v>
      </c>
      <c r="B71" t="e">
        <f t="shared" si="8"/>
        <v>#REF!</v>
      </c>
      <c r="C71" t="e">
        <f t="shared" si="11"/>
        <v>#REF!</v>
      </c>
      <c r="D71" s="5" t="e">
        <f t="shared" si="9"/>
        <v>#REF!</v>
      </c>
      <c r="E71" s="5" t="e">
        <f t="shared" si="12"/>
        <v>#REF!</v>
      </c>
      <c r="F71" t="e">
        <f t="shared" si="10"/>
        <v>#REF!</v>
      </c>
    </row>
    <row r="72" spans="1:6" x14ac:dyDescent="0.35">
      <c r="A72" t="str">
        <f>Test_Data!D67</f>
        <v>ProposeCompensationHire_Salary</v>
      </c>
      <c r="B72" t="str">
        <f t="shared" si="8"/>
        <v>Private intRowProposeCompensationHire_Salary</v>
      </c>
      <c r="C72" t="str">
        <f t="shared" si="11"/>
        <v>Private strProposeCompensationHire_Salary</v>
      </c>
      <c r="D72" s="5" t="str">
        <f t="shared" si="9"/>
        <v>intRowProposeCompensationHire_Salary = comExcelWorksheet.Range("ProposeCompensationHire_Salary").Row</v>
      </c>
      <c r="E72" s="5" t="str">
        <f t="shared" si="12"/>
        <v>strProposeCompensationHire_Salary = comExcelWorksheet.Cells(intRowProposeCompensationHire_Salary, intColTestColumn).Value</v>
      </c>
      <c r="F72" t="str">
        <f t="shared" si="10"/>
        <v>Public Property Get getProposeCompensationHire_Salary() : getProposeCompensationHire_Salary = strProposeCompensationHire_Salary : End Property</v>
      </c>
    </row>
    <row r="73" spans="1:6" x14ac:dyDescent="0.35">
      <c r="A73" t="str">
        <f>Test_Data!D68</f>
        <v>PaymentElectionOption_BankName</v>
      </c>
      <c r="B73" t="str">
        <f t="shared" si="8"/>
        <v>Private intRowPaymentElectionOption_BankName</v>
      </c>
      <c r="C73" t="str">
        <f t="shared" si="11"/>
        <v>Private strPaymentElectionOption_BankName</v>
      </c>
      <c r="D73" s="5" t="str">
        <f t="shared" si="9"/>
        <v>intRowPaymentElectionOption_BankName = comExcelWorksheet.Range("PaymentElectionOption_BankName").Row</v>
      </c>
      <c r="E73" s="5" t="str">
        <f t="shared" si="12"/>
        <v>strPaymentElectionOption_BankName = comExcelWorksheet.Cells(intRowPaymentElectionOption_BankName, intColTestColumn).Value</v>
      </c>
      <c r="F73" t="str">
        <f t="shared" si="10"/>
        <v>Public Property Get getPaymentElectionOption_BankName() : getPaymentElectionOption_BankName = strPaymentElectionOption_BankName : End Property</v>
      </c>
    </row>
    <row r="74" spans="1:6" x14ac:dyDescent="0.35">
      <c r="A74" t="str">
        <f>Test_Data!D70</f>
        <v>PaymentElectionOption_IBAN</v>
      </c>
      <c r="B74" t="str">
        <f t="shared" si="8"/>
        <v>Private intRowPaymentElectionOption_IBAN</v>
      </c>
      <c r="C74" t="str">
        <f t="shared" si="11"/>
        <v>Private strPaymentElectionOption_IBAN</v>
      </c>
      <c r="D74" s="5" t="str">
        <f t="shared" si="9"/>
        <v>intRowPaymentElectionOption_IBAN = comExcelWorksheet.Range("PaymentElectionOption_IBAN").Row</v>
      </c>
      <c r="E74" s="5" t="str">
        <f t="shared" si="12"/>
        <v>strPaymentElectionOption_IBAN = comExcelWorksheet.Cells(intRowPaymentElectionOption_IBAN, intColTestColumn).Value</v>
      </c>
      <c r="F74" t="str">
        <f t="shared" si="10"/>
        <v>Public Property Get getPaymentElectionOption_IBAN() : getPaymentElectionOption_IBAN = strPaymentElectionOption_IBAN : End Property</v>
      </c>
    </row>
    <row r="75" spans="1:6" x14ac:dyDescent="0.35">
      <c r="A75" t="str">
        <f>Test_Data!D71</f>
        <v>PaymentElectionOption_AccountType</v>
      </c>
      <c r="B75" t="str">
        <f t="shared" si="8"/>
        <v>Private intRowPaymentElectionOption_AccountType</v>
      </c>
      <c r="C75" t="str">
        <f t="shared" si="11"/>
        <v>Private strPaymentElectionOption_AccountType</v>
      </c>
      <c r="D75" s="5" t="str">
        <f t="shared" ref="D75:D89" si="13">"intRow" &amp; A75 &amp; " = comExcelWorksheet.Range(""" &amp; A75 &amp; """).Row"</f>
        <v>intRowPaymentElectionOption_AccountType = comExcelWorksheet.Range("PaymentElectionOption_AccountType").Row</v>
      </c>
      <c r="E75" s="5" t="str">
        <f t="shared" si="12"/>
        <v>strPaymentElectionOption_AccountType = comExcelWorksheet.Cells(intRowPaymentElectionOption_AccountType, intColTestColumn).Value</v>
      </c>
      <c r="F75" t="str">
        <f t="shared" ref="F75:F89" si="14">"Public Property Get get" &amp; A75 &amp; "() : get" &amp; A75 &amp; " = str" &amp; A75 &amp; " : End Property"</f>
        <v>Public Property Get getPaymentElectionOption_AccountType() : getPaymentElectionOption_AccountType = strPaymentElectionOption_AccountType : End Property</v>
      </c>
    </row>
    <row r="76" spans="1:6" x14ac:dyDescent="0.35">
      <c r="A76" t="e">
        <f>Test_Data!#REF!</f>
        <v>#REF!</v>
      </c>
      <c r="B76" t="e">
        <f t="shared" si="8"/>
        <v>#REF!</v>
      </c>
      <c r="C76" t="e">
        <f t="shared" si="11"/>
        <v>#REF!</v>
      </c>
      <c r="D76" s="5" t="e">
        <f t="shared" si="13"/>
        <v>#REF!</v>
      </c>
      <c r="E76" s="5" t="e">
        <f t="shared" si="12"/>
        <v>#REF!</v>
      </c>
      <c r="F76" t="e">
        <f t="shared" si="14"/>
        <v>#REF!</v>
      </c>
    </row>
    <row r="77" spans="1:6" x14ac:dyDescent="0.35">
      <c r="A77" t="e">
        <f>Test_Data!#REF!</f>
        <v>#REF!</v>
      </c>
      <c r="B77" t="e">
        <f t="shared" si="8"/>
        <v>#REF!</v>
      </c>
      <c r="C77" t="e">
        <f t="shared" si="11"/>
        <v>#REF!</v>
      </c>
      <c r="D77" s="5" t="e">
        <f t="shared" si="13"/>
        <v>#REF!</v>
      </c>
      <c r="E77" s="5" t="e">
        <f t="shared" si="12"/>
        <v>#REF!</v>
      </c>
      <c r="F77" t="e">
        <f t="shared" si="14"/>
        <v>#REF!</v>
      </c>
    </row>
    <row r="78" spans="1:6" x14ac:dyDescent="0.35">
      <c r="A78" t="e">
        <f>Test_Data!#REF!</f>
        <v>#REF!</v>
      </c>
      <c r="B78" t="e">
        <f t="shared" si="8"/>
        <v>#REF!</v>
      </c>
      <c r="C78" t="e">
        <f t="shared" si="11"/>
        <v>#REF!</v>
      </c>
      <c r="D78" s="5" t="e">
        <f t="shared" si="13"/>
        <v>#REF!</v>
      </c>
      <c r="E78" s="5" t="e">
        <f t="shared" si="12"/>
        <v>#REF!</v>
      </c>
      <c r="F78" t="e">
        <f t="shared" si="14"/>
        <v>#REF!</v>
      </c>
    </row>
    <row r="79" spans="1:6" x14ac:dyDescent="0.35">
      <c r="A79" t="e">
        <f>Test_Data!#REF!</f>
        <v>#REF!</v>
      </c>
      <c r="B79" t="e">
        <f t="shared" si="8"/>
        <v>#REF!</v>
      </c>
      <c r="C79" t="e">
        <f t="shared" si="11"/>
        <v>#REF!</v>
      </c>
      <c r="D79" s="5" t="e">
        <f t="shared" si="13"/>
        <v>#REF!</v>
      </c>
      <c r="E79" s="5" t="e">
        <f t="shared" si="12"/>
        <v>#REF!</v>
      </c>
      <c r="F79" t="e">
        <f t="shared" si="14"/>
        <v>#REF!</v>
      </c>
    </row>
    <row r="80" spans="1:6" x14ac:dyDescent="0.35">
      <c r="A80" t="e">
        <f>Test_Data!#REF!</f>
        <v>#REF!</v>
      </c>
      <c r="B80" t="e">
        <f t="shared" si="8"/>
        <v>#REF!</v>
      </c>
      <c r="C80" t="e">
        <f t="shared" si="11"/>
        <v>#REF!</v>
      </c>
      <c r="D80" s="5" t="e">
        <f t="shared" si="13"/>
        <v>#REF!</v>
      </c>
      <c r="E80" s="5" t="e">
        <f t="shared" si="12"/>
        <v>#REF!</v>
      </c>
      <c r="F80" t="e">
        <f t="shared" si="14"/>
        <v>#REF!</v>
      </c>
    </row>
    <row r="81" spans="1:6" x14ac:dyDescent="0.35">
      <c r="A81" t="e">
        <f>Test_Data!#REF!</f>
        <v>#REF!</v>
      </c>
      <c r="B81" t="e">
        <f t="shared" si="8"/>
        <v>#REF!</v>
      </c>
      <c r="C81" t="e">
        <f t="shared" si="11"/>
        <v>#REF!</v>
      </c>
      <c r="D81" s="5" t="e">
        <f t="shared" si="13"/>
        <v>#REF!</v>
      </c>
      <c r="E81" s="5" t="e">
        <f t="shared" si="12"/>
        <v>#REF!</v>
      </c>
      <c r="F81" t="e">
        <f t="shared" si="14"/>
        <v>#REF!</v>
      </c>
    </row>
    <row r="82" spans="1:6" x14ac:dyDescent="0.35">
      <c r="A82" t="e">
        <f>Test_Data!#REF!</f>
        <v>#REF!</v>
      </c>
      <c r="B82" t="e">
        <f t="shared" si="8"/>
        <v>#REF!</v>
      </c>
      <c r="C82" t="e">
        <f t="shared" si="11"/>
        <v>#REF!</v>
      </c>
      <c r="D82" s="5" t="e">
        <f t="shared" si="13"/>
        <v>#REF!</v>
      </c>
      <c r="E82" s="5" t="e">
        <f t="shared" si="12"/>
        <v>#REF!</v>
      </c>
      <c r="F82" t="e">
        <f t="shared" si="14"/>
        <v>#REF!</v>
      </c>
    </row>
    <row r="83" spans="1:6" x14ac:dyDescent="0.35">
      <c r="A83" t="e">
        <f>Test_Data!#REF!</f>
        <v>#REF!</v>
      </c>
      <c r="B83" t="e">
        <f t="shared" si="8"/>
        <v>#REF!</v>
      </c>
      <c r="C83" t="e">
        <f t="shared" si="11"/>
        <v>#REF!</v>
      </c>
      <c r="D83" s="5" t="e">
        <f t="shared" si="13"/>
        <v>#REF!</v>
      </c>
      <c r="E83" s="5" t="e">
        <f t="shared" si="12"/>
        <v>#REF!</v>
      </c>
      <c r="F83" t="e">
        <f t="shared" si="14"/>
        <v>#REF!</v>
      </c>
    </row>
    <row r="84" spans="1:6" x14ac:dyDescent="0.35">
      <c r="A84" t="e">
        <f>Test_Data!#REF!</f>
        <v>#REF!</v>
      </c>
      <c r="B84" t="e">
        <f t="shared" si="8"/>
        <v>#REF!</v>
      </c>
      <c r="C84" t="e">
        <f t="shared" si="11"/>
        <v>#REF!</v>
      </c>
      <c r="D84" s="5" t="e">
        <f t="shared" si="13"/>
        <v>#REF!</v>
      </c>
      <c r="E84" s="5" t="e">
        <f t="shared" si="12"/>
        <v>#REF!</v>
      </c>
      <c r="F84" t="e">
        <f t="shared" si="14"/>
        <v>#REF!</v>
      </c>
    </row>
    <row r="85" spans="1:6" x14ac:dyDescent="0.35">
      <c r="A85" t="e">
        <f>Test_Data!#REF!</f>
        <v>#REF!</v>
      </c>
      <c r="B85" t="e">
        <f t="shared" si="8"/>
        <v>#REF!</v>
      </c>
      <c r="C85" t="e">
        <f t="shared" si="11"/>
        <v>#REF!</v>
      </c>
      <c r="D85" s="5" t="e">
        <f t="shared" si="13"/>
        <v>#REF!</v>
      </c>
      <c r="E85" s="5" t="e">
        <f t="shared" si="12"/>
        <v>#REF!</v>
      </c>
      <c r="F85" t="e">
        <f t="shared" si="14"/>
        <v>#REF!</v>
      </c>
    </row>
    <row r="86" spans="1:6" x14ac:dyDescent="0.35">
      <c r="A86" t="e">
        <f>Test_Data!#REF!</f>
        <v>#REF!</v>
      </c>
      <c r="B86" t="e">
        <f t="shared" si="8"/>
        <v>#REF!</v>
      </c>
      <c r="C86" t="e">
        <f t="shared" si="11"/>
        <v>#REF!</v>
      </c>
      <c r="D86" s="5" t="e">
        <f t="shared" si="13"/>
        <v>#REF!</v>
      </c>
      <c r="E86" s="5" t="e">
        <f t="shared" si="12"/>
        <v>#REF!</v>
      </c>
      <c r="F86" t="e">
        <f t="shared" si="14"/>
        <v>#REF!</v>
      </c>
    </row>
    <row r="87" spans="1:6" x14ac:dyDescent="0.35">
      <c r="A87" t="e">
        <f>Test_Data!#REF!</f>
        <v>#REF!</v>
      </c>
      <c r="B87" t="e">
        <f t="shared" si="8"/>
        <v>#REF!</v>
      </c>
      <c r="C87" t="e">
        <f t="shared" si="11"/>
        <v>#REF!</v>
      </c>
      <c r="D87" s="5" t="e">
        <f t="shared" si="13"/>
        <v>#REF!</v>
      </c>
      <c r="E87" s="5" t="e">
        <f t="shared" si="12"/>
        <v>#REF!</v>
      </c>
      <c r="F87" t="e">
        <f t="shared" si="14"/>
        <v>#REF!</v>
      </c>
    </row>
    <row r="88" spans="1:6" x14ac:dyDescent="0.35">
      <c r="A88" t="e">
        <f>Test_Data!#REF!</f>
        <v>#REF!</v>
      </c>
      <c r="B88" t="e">
        <f t="shared" si="8"/>
        <v>#REF!</v>
      </c>
      <c r="C88" t="e">
        <f t="shared" si="11"/>
        <v>#REF!</v>
      </c>
      <c r="D88" s="5" t="e">
        <f t="shared" si="13"/>
        <v>#REF!</v>
      </c>
      <c r="E88" s="5" t="e">
        <f t="shared" si="12"/>
        <v>#REF!</v>
      </c>
      <c r="F88" t="e">
        <f t="shared" si="14"/>
        <v>#REF!</v>
      </c>
    </row>
    <row r="89" spans="1:6" x14ac:dyDescent="0.35">
      <c r="A89" t="e">
        <f>Test_Data!#REF!</f>
        <v>#REF!</v>
      </c>
      <c r="B89" t="e">
        <f t="shared" si="8"/>
        <v>#REF!</v>
      </c>
      <c r="C89" t="e">
        <f t="shared" si="11"/>
        <v>#REF!</v>
      </c>
      <c r="D89" s="5" t="e">
        <f t="shared" si="13"/>
        <v>#REF!</v>
      </c>
      <c r="E89" s="5" t="e">
        <f t="shared" si="12"/>
        <v>#REF!</v>
      </c>
      <c r="F89" t="e">
        <f t="shared" si="14"/>
        <v>#REF!</v>
      </c>
    </row>
    <row r="90" spans="1:6" x14ac:dyDescent="0.35">
      <c r="A90" t="str">
        <f>Test_Data!D72</f>
        <v>AssignPayGroup_ProposedPayGroupFinal</v>
      </c>
      <c r="B90" t="str">
        <f>"Private intRow" &amp; A90</f>
        <v>Private intRowAssignPayGroup_ProposedPayGroupFinal</v>
      </c>
      <c r="C90" t="str">
        <f>"Private str" &amp; A90</f>
        <v>Private strAssignPayGroup_ProposedPayGroupFinal</v>
      </c>
      <c r="D90" s="5" t="str">
        <f>"intRow" &amp; A90 &amp; " = comExcelWorksheet.Range(""" &amp; A90 &amp; """).Row"</f>
        <v>intRowAssignPayGroup_ProposedPayGroupFinal = comExcelWorksheet.Range("AssignPayGroup_ProposedPayGroupFinal").Row</v>
      </c>
      <c r="E90" s="5" t="str">
        <f>"str" &amp; A90 &amp; " = comExcelWorksheet.Cells(intRow" &amp; A90 &amp; ", intColTestColumn).Value"</f>
        <v>strAssignPayGroup_ProposedPayGroupFinal = comExcelWorksheet.Cells(intRowAssignPayGroup_ProposedPayGroupFinal, intColTestColumn).Value</v>
      </c>
      <c r="F90" t="str">
        <f>"Public Property Get get" &amp; A90 &amp; "() : get" &amp;Code_Ranjeeta!A90 &amp; " = str" &amp; A90 &amp; " : End Property"</f>
        <v>Public Property Get getAssignPayGroup_ProposedPayGroupFinal() : getAssignPayGroup_ProposedPayGroupFinal = strAssignPayGroup_ProposedPayGroupFinal : End Property</v>
      </c>
    </row>
    <row r="91" spans="1:6" s="29" customFormat="1" x14ac:dyDescent="0.35">
      <c r="A91" s="184" t="s">
        <v>1230</v>
      </c>
      <c r="B91" s="29" t="str">
        <f>"Private intRow" &amp; A91</f>
        <v>Private intRowPaymentElectionOption_BankIdentificationCode</v>
      </c>
      <c r="C91" s="29" t="str">
        <f>"Private str" &amp; A91</f>
        <v>Private strPaymentElectionOption_BankIdentificationCode</v>
      </c>
      <c r="D91" s="189" t="str">
        <f>"intRow" &amp; A91 &amp; " = comExcelWorksheet.Range(""" &amp; A91 &amp; """).Row"</f>
        <v>intRowPaymentElectionOption_BankIdentificationCode = comExcelWorksheet.Range("PaymentElectionOption_BankIdentificationCode").Row</v>
      </c>
      <c r="E91" s="189" t="str">
        <f>"str" &amp; A91 &amp; " = comExcelWorksheet.Cells(intRow" &amp; A91 &amp; ", intColTestColumn).Value"</f>
        <v>strPaymentElectionOption_BankIdentificationCode = comExcelWorksheet.Cells(intRowPaymentElectionOption_BankIdentificationCode, intColTestColumn).Value</v>
      </c>
      <c r="F91" s="29" t="str">
        <f>"Public Property Get get" &amp; A91 &amp; "() : get" &amp;Code_Ranjeeta!A91 &amp; " = str" &amp; A91 &amp; " : End Property"</f>
        <v>Public Property Get getPaymentElectionOption_BankIdentificationCode() : getPaymentElectionOption_BankIdentificationCode = strPaymentElectionOption_BankIdentificationCode : End Property</v>
      </c>
    </row>
    <row r="93" spans="1:6" x14ac:dyDescent="0.35">
      <c r="A93" s="190"/>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4"/>
  <sheetViews>
    <sheetView zoomScale="90" zoomScaleNormal="90" workbookViewId="0">
      <selection activeCell="B2" sqref="B2"/>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5" bestFit="1" customWidth="1"/>
    <col min="7" max="7" width="171.54296875" style="5" bestFit="1" customWidth="1"/>
    <col min="8" max="8" width="211.54296875" customWidth="1"/>
  </cols>
  <sheetData>
    <row r="1" spans="1:8" ht="74.25" customHeight="1" thickBot="1" x14ac:dyDescent="0.5">
      <c r="A1" s="6"/>
      <c r="B1" s="6" t="s">
        <v>328</v>
      </c>
      <c r="C1" s="6" t="s">
        <v>329</v>
      </c>
      <c r="D1" s="6" t="s">
        <v>330</v>
      </c>
      <c r="E1" s="6" t="s">
        <v>331</v>
      </c>
      <c r="F1" s="149" t="s">
        <v>332</v>
      </c>
      <c r="G1" s="149" t="s">
        <v>333</v>
      </c>
      <c r="H1" s="46" t="s">
        <v>334</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2" si="0">"intRow" &amp; A3 &amp; ", "</f>
        <v xml:space="preserve">intRowExecutionFlag, </v>
      </c>
      <c r="C3" t="str">
        <f>C2 &amp;B3</f>
        <v xml:space="preserve">intRowProcess, intRowExecutionFlag, </v>
      </c>
      <c r="D3" t="str">
        <f t="shared" ref="D3:D62" si="1">"str" &amp; A3 &amp; ", "</f>
        <v xml:space="preserve">strExecutionFlag, </v>
      </c>
      <c r="E3" t="str">
        <f>E2 &amp;D3</f>
        <v xml:space="preserve">strProcess, strExecutionFlag, </v>
      </c>
      <c r="F3" s="5" t="str">
        <f t="shared" ref="F3:F62" si="2">"intRow" &amp; A3 &amp; " = comExcelWorksheet.Range(""" &amp; A3 &amp; """).Row"</f>
        <v>intRowExecutionFlag = comExcelWorksheet.Range("ExecutionFlag").Row</v>
      </c>
      <c r="G3" s="5" t="str">
        <f>"str" &amp; A3 &amp; " = comExcelWorksheet.Cells(intRow" &amp; A3 &amp; ", intColTestColumn).Value"</f>
        <v>strExecutionFlag = comExcelWorksheet.Cells(intRowExecutionFlag, intColTestColumn).Value</v>
      </c>
      <c r="H3" t="str">
        <f t="shared" ref="H3:H62"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7" si="4">C3 &amp;B4</f>
        <v xml:space="preserve">intRowProcess, intRowExecutionFlag, intRowDataValidationComplete, </v>
      </c>
      <c r="D4" t="str">
        <f t="shared" si="1"/>
        <v xml:space="preserve">strDataValidationComplete, </v>
      </c>
      <c r="E4" t="str">
        <f t="shared" ref="E4:E67" si="5">E3 &amp;D4</f>
        <v xml:space="preserve">strProcess, strExecutionFlag, strDataValidationComplete, </v>
      </c>
      <c r="F4" s="5" t="str">
        <f t="shared" si="2"/>
        <v>intRowDataValidationComplete = comExcelWorksheet.Range("DataValidationComplete").Row</v>
      </c>
      <c r="G4" s="5"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5" t="str">
        <f t="shared" si="2"/>
        <v>intRowHireNameComplete = comExcelWorksheet.Range("HireNameComplete").Row</v>
      </c>
      <c r="G5" s="5" t="str">
        <f t="shared" ref="G5:G64"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t="str">
        <f>Test_Data!D7</f>
        <v>LastRunTimeandStatus</v>
      </c>
      <c r="B6" t="str">
        <f t="shared" si="0"/>
        <v xml:space="preserve">intRowLastRunTimeandStatus, </v>
      </c>
      <c r="C6" t="str">
        <f t="shared" si="4"/>
        <v xml:space="preserve">intRowProcess, intRowExecutionFlag, intRowDataValidationComplete, intRowHireNameComplete, intRowLastRunTimeandStatus, </v>
      </c>
      <c r="D6" t="str">
        <f t="shared" si="1"/>
        <v xml:space="preserve">strLastRunTimeandStatus, </v>
      </c>
      <c r="E6" t="str">
        <f t="shared" si="5"/>
        <v xml:space="preserve">strProcess, strExecutionFlag, strDataValidationComplete, strHireNameComplete, strLastRunTimeandStatus, </v>
      </c>
      <c r="F6" s="5" t="str">
        <f t="shared" si="2"/>
        <v>intRowLastRunTimeandStatus = comExcelWorksheet.Range("LastRunTimeandStatus").Row</v>
      </c>
      <c r="G6" s="5" t="str">
        <f t="shared" si="6"/>
        <v>strLastRunTimeandStatus = comExcelWorksheet.Cells(intRowLastRunTimeandStatus, intColTestColumn).Value</v>
      </c>
      <c r="H6" t="str">
        <f t="shared" si="3"/>
        <v>Public Property Get getLastRunTimeandStatus() : getLastRunTimeandStatus = strLastRunTimeandStatus : End Property</v>
      </c>
    </row>
    <row r="7" spans="1:8" x14ac:dyDescent="0.35">
      <c r="A7" t="str">
        <f>Test_Data!D8</f>
        <v>LastRunEmployeeNo</v>
      </c>
      <c r="B7" t="str">
        <f t="shared" si="0"/>
        <v xml:space="preserve">intRowLastRunEmployeeNo, </v>
      </c>
      <c r="C7" t="str">
        <f t="shared" si="4"/>
        <v xml:space="preserve">intRowProcess, intRowExecutionFlag, intRowDataValidationComplete, intRowHireNameComplete, intRowLastRunTimeandStatus, intRowLastRunEmployeeNo, </v>
      </c>
      <c r="D7" t="str">
        <f t="shared" si="1"/>
        <v xml:space="preserve">strLastRunEmployeeNo, </v>
      </c>
      <c r="E7" t="str">
        <f t="shared" si="5"/>
        <v xml:space="preserve">strProcess, strExecutionFlag, strDataValidationComplete, strHireNameComplete, strLastRunTimeandStatus, strLastRunEmployeeNo, </v>
      </c>
      <c r="F7" s="5" t="str">
        <f t="shared" si="2"/>
        <v>intRowLastRunEmployeeNo = comExcelWorksheet.Range("LastRunEmployeeNo").Row</v>
      </c>
      <c r="G7" s="5" t="str">
        <f t="shared" si="6"/>
        <v>strLastRunEmployeeNo = comExcelWorksheet.Cells(intRowLastRunEmployeeNo, intColTestColumn).Value</v>
      </c>
      <c r="H7" t="str">
        <f t="shared" si="3"/>
        <v>Public Property Get getLastRunEmployeeNo() : getLastRunEmployeeNo = strLastRunEmployeeNo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intRowLastRunTimeandStatus, intRowLastRunEmployeeNo, intRowLastRunErrorMessage, </v>
      </c>
      <c r="D8" t="str">
        <f t="shared" si="1"/>
        <v xml:space="preserve">strLastRunErrorMessage, </v>
      </c>
      <c r="E8" t="str">
        <f t="shared" si="5"/>
        <v xml:space="preserve">strProcess, strExecutionFlag, strDataValidationComplete, strHireNameComplete, strLastRunTimeandStatus, strLastRunEmployeeNo, strLastRunErrorMessage, </v>
      </c>
      <c r="F8" s="5" t="str">
        <f t="shared" si="2"/>
        <v>intRowLastRunErrorMessage = comExcelWorksheet.Range("LastRunErrorMessage").Row</v>
      </c>
      <c r="G8" s="5"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intRowLastRunTimeandStatus, intRowLastRunEmployeeNo, intRowLastRunErrorMessage, intRowDefectDescription, </v>
      </c>
      <c r="D9" t="str">
        <f t="shared" si="1"/>
        <v xml:space="preserve">strDefectDescription, </v>
      </c>
      <c r="E9" t="str">
        <f t="shared" si="5"/>
        <v xml:space="preserve">strProcess, strExecutionFlag, strDataValidationComplete, strHireNameComplete, strLastRunTimeandStatus, strLastRunEmployeeNo, strLastRunErrorMessage, strDefectDescription, </v>
      </c>
      <c r="F9" s="5" t="str">
        <f t="shared" si="2"/>
        <v>intRowDefectDescription = comExcelWorksheet.Range("DefectDescription").Row</v>
      </c>
      <c r="G9" s="5"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intRowLastRunTimeandStatus, intRowLastRunEmployeeNo, intRowLastRunErrorMessage, intRowDefectDescription, intRowAutomationComments, </v>
      </c>
      <c r="D10" t="str">
        <f t="shared" si="1"/>
        <v xml:space="preserve">strAutomationComments, </v>
      </c>
      <c r="E10" t="str">
        <f t="shared" si="5"/>
        <v xml:space="preserve">strProcess, strExecutionFlag, strDataValidationComplete, strHireNameComplete, strLastRunTimeandStatus, strLastRunEmployeeNo, strLastRunErrorMessage, strDefectDescription, strAutomationComments, </v>
      </c>
      <c r="F10" s="5" t="str">
        <f t="shared" si="2"/>
        <v>intRowAutomationComments = comExcelWorksheet.Range("AutomationComments").Row</v>
      </c>
      <c r="G10" s="5"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intRowLastRunTimeandStatus, intRowLastRunEmployeeNo,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strLastRunTimeandStatus, strLastRunEmployeeNo, strLastRunErrorMessage, strDefectDescription, strAutomationComments, strQAComments, </v>
      </c>
      <c r="F11" s="5" t="str">
        <f t="shared" si="2"/>
        <v>intRowQAComments = comExcelWorksheet.Range("QAComments").Row</v>
      </c>
      <c r="G11" s="5"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intRowLastRunTimeandStatus, intRowLastRunEmployeeNo, intRowLastRunErrorMessage, intRowDefectDescription, intRowAutomationComments, intRowQAComments, intRow0, </v>
      </c>
      <c r="D12" t="str">
        <f t="shared" si="1"/>
        <v xml:space="preserve">str0, </v>
      </c>
      <c r="E12" t="str">
        <f t="shared" si="5"/>
        <v xml:space="preserve">strProcess, strExecutionFlag, strDataValidationComplete, strHireNameComplete, strLastRunTimeandStatus, strLastRunEmployeeNo, strLastRunErrorMessage, strDefectDescription, strAutomationComments, strQAComments, str0, </v>
      </c>
      <c r="F12" s="5" t="str">
        <f t="shared" si="2"/>
        <v>intRow0 = comExcelWorksheet.Range("0").Row</v>
      </c>
      <c r="G12" s="5"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intRowLastRunTimeandStatus, intRowLastRunEmployeeNo,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strLastRunTimeandStatus, strLastRunEmployeeNo, strLastRunErrorMessage, strDefectDescription, strAutomationComments, strQAComments, str0, strAutomation Ref, </v>
      </c>
      <c r="F13" s="5" t="str">
        <f t="shared" si="2"/>
        <v>intRowAutomation Ref = comExcelWorksheet.Range("Automation Ref").Row</v>
      </c>
      <c r="G13" s="5"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strLastRunTimeandStatus, strLastRunEmployeeNo, strLastRunErrorMessage, strDefectDescription, strAutomationComments, strQAComments, str0, strAutomation Ref, strLogin_Username, </v>
      </c>
      <c r="F14" s="5" t="str">
        <f t="shared" si="2"/>
        <v>intRowLogin_Username = comExcelWorksheet.Range("Login_Username").Row</v>
      </c>
      <c r="G14" s="5"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v>
      </c>
      <c r="F15" s="5" t="str">
        <f t="shared" si="2"/>
        <v>intRowLogin_Password = comExcelWorksheet.Range("Login_Password").Row</v>
      </c>
      <c r="G15" s="5"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v>
      </c>
      <c r="F16" s="5" t="str">
        <f t="shared" si="2"/>
        <v>intRowSupervisoryOrganisation_SupervisoryOrganisation = comExcelWorksheet.Range("SupervisoryOrganisation_SupervisoryOrganisation").Row</v>
      </c>
      <c r="G16" s="5"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v>
      </c>
      <c r="F17" s="5" t="str">
        <f t="shared" si="2"/>
        <v>intRowLegalNameInformation_Country = comExcelWorksheet.Range("LegalNameInformation_Country").Row</v>
      </c>
      <c r="G17" s="5"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Test_Data!D20</f>
        <v>LegalNameInformation_GivenName</v>
      </c>
      <c r="B18" t="str">
        <f t="shared" si="0"/>
        <v xml:space="preserve">intRowLegalNameInformation_GivenName, </v>
      </c>
      <c r="C1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v>
      </c>
      <c r="F18" s="5" t="str">
        <f t="shared" si="2"/>
        <v>intRowLegalNameInformation_GivenName = comExcelWorksheet.Range("LegalNameInformation_GivenName").Row</v>
      </c>
      <c r="G18" s="5"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Test_Data!D21</f>
        <v>LegalNameInformation_FamilyName</v>
      </c>
      <c r="B19" t="str">
        <f t="shared" si="0"/>
        <v xml:space="preserve">intRowLegalNameInformation_FamilyName, </v>
      </c>
      <c r="C1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5" t="str">
        <f t="shared" si="2"/>
        <v>intRowLegalNameInformation_FamilyName = comExcelWorksheet.Range("LegalNameInformation_FamilyName").Row</v>
      </c>
      <c r="G19" s="5"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Test_Data!D22</f>
        <v>ContactInformation_Phone_PhoneNumber</v>
      </c>
      <c r="B20" t="str">
        <f t="shared" si="0"/>
        <v xml:space="preserve">intRowContactInformation_Phone_PhoneNumber, </v>
      </c>
      <c r="C2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5" t="str">
        <f t="shared" si="2"/>
        <v>intRowContactInformation_Phone_PhoneNumber = comExcelWorksheet.Range("ContactInformation_Phone_PhoneNumber").Row</v>
      </c>
      <c r="G20" s="5"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Test_Data!D23</f>
        <v>ContactInformation_Phone_PhoneDevice</v>
      </c>
      <c r="B21" t="str">
        <f t="shared" si="0"/>
        <v xml:space="preserve">intRowContactInformation_Phone_PhoneDevice, </v>
      </c>
      <c r="C2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5" t="str">
        <f t="shared" si="2"/>
        <v>intRowContactInformation_Phone_PhoneDevice = comExcelWorksheet.Range("ContactInformation_Phone_PhoneDevice").Row</v>
      </c>
      <c r="G21" s="5"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Test_Data!D24</f>
        <v>ContactInformation_Phone_Type</v>
      </c>
      <c r="B22" t="str">
        <f t="shared" si="0"/>
        <v xml:space="preserve">intRowContactInformation_Phone_Type, </v>
      </c>
      <c r="C2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5" t="str">
        <f t="shared" si="2"/>
        <v>intRowContactInformation_Phone_Type = comExcelWorksheet.Range("ContactInformation_Phone_Type").Row</v>
      </c>
      <c r="G22" s="5"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Test_Data!D25</f>
        <v>ContactInformation_Address_EffectiveDate</v>
      </c>
      <c r="B23" t="str">
        <f t="shared" si="0"/>
        <v xml:space="preserve">intRowContactInformation_Address_EffectiveDate, </v>
      </c>
      <c r="C2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5" t="str">
        <f t="shared" si="2"/>
        <v>intRowContactInformation_Address_EffectiveDate = comExcelWorksheet.Range("ContactInformation_Address_EffectiveDate").Row</v>
      </c>
      <c r="G23" s="5"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Test_Data!D26</f>
        <v>ContactInformation_Address_Country</v>
      </c>
      <c r="B24" t="str">
        <f t="shared" si="0"/>
        <v xml:space="preserve">intRowContactInformation_Address_Country, </v>
      </c>
      <c r="C2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5" t="str">
        <f t="shared" si="2"/>
        <v>intRowContactInformation_Address_Country = comExcelWorksheet.Range("ContactInformation_Address_Country").Row</v>
      </c>
      <c r="G24" s="5"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str">
        <f>Test_Data!D28</f>
        <v>ContactInformation_Address_AdressLine1</v>
      </c>
      <c r="B25" t="str">
        <f t="shared" si="0"/>
        <v xml:space="preserve">intRowContactInformation_Address_AdressLine1, </v>
      </c>
      <c r="C2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v>
      </c>
      <c r="D25" t="str">
        <f t="shared" si="1"/>
        <v xml:space="preserve">strContactInformation_Address_AdressLine1, </v>
      </c>
      <c r="E2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v>
      </c>
      <c r="F25" s="5" t="str">
        <f t="shared" si="2"/>
        <v>intRowContactInformation_Address_AdressLine1 = comExcelWorksheet.Range("ContactInformation_Address_AdressLine1").Row</v>
      </c>
      <c r="G25" s="5" t="str">
        <f t="shared" si="6"/>
        <v>strContactInformation_Address_AdressLine1 = comExcelWorksheet.Cells(intRowContactInformation_Address_AdressLine1, intColTestColumn).Value</v>
      </c>
      <c r="H25" t="str">
        <f t="shared" si="3"/>
        <v>Public Property Get getContactInformation_Address_AdressLine1() : getContactInformation_Address_AdressLine1 = strContactInformation_Address_AdressLine1 : End Property</v>
      </c>
    </row>
    <row r="26" spans="1:8" x14ac:dyDescent="0.35">
      <c r="A26" t="str">
        <f>Test_Data!D29</f>
        <v>ContactInformation_Address_AdressLine2</v>
      </c>
      <c r="B26" t="str">
        <f t="shared" si="0"/>
        <v xml:space="preserve">intRowContactInformation_Address_AdressLine2, </v>
      </c>
      <c r="C2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v>
      </c>
      <c r="D26" t="str">
        <f t="shared" si="1"/>
        <v xml:space="preserve">strContactInformation_Address_AdressLine2, </v>
      </c>
      <c r="E2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v>
      </c>
      <c r="F26" s="5" t="str">
        <f t="shared" si="2"/>
        <v>intRowContactInformation_Address_AdressLine2 = comExcelWorksheet.Range("ContactInformation_Address_AdressLine2").Row</v>
      </c>
      <c r="G26" s="5" t="str">
        <f t="shared" si="6"/>
        <v>strContactInformation_Address_AdressLine2 = comExcelWorksheet.Cells(intRowContactInformation_Address_AdressLine2, intColTestColumn).Value</v>
      </c>
      <c r="H26" t="str">
        <f t="shared" si="3"/>
        <v>Public Property Get getContactInformation_Address_AdressLine2() : getContactInformation_Address_AdressLine2 = strContactInformation_Address_AdressLine2 : End Property</v>
      </c>
    </row>
    <row r="27" spans="1:8" x14ac:dyDescent="0.35">
      <c r="A27" t="str">
        <f>Test_Data!D31</f>
        <v>ContactInformation_Address_PostalCode</v>
      </c>
      <c r="B27" t="str">
        <f t="shared" si="0"/>
        <v xml:space="preserve">intRowContactInformation_Address_PostalCode, </v>
      </c>
      <c r="C2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intRowContactInformation_Address_PostalCode, </v>
      </c>
      <c r="D27" t="str">
        <f t="shared" si="1"/>
        <v xml:space="preserve">strContactInformation_Address_PostalCode, </v>
      </c>
      <c r="E2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strContactInformation_Address_PostalCode, </v>
      </c>
      <c r="F27" s="5" t="str">
        <f t="shared" si="2"/>
        <v>intRowContactInformation_Address_PostalCode = comExcelWorksheet.Range("ContactInformation_Address_PostalCode").Row</v>
      </c>
      <c r="G27" s="5"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Test_Data!D32</f>
        <v>ContactInformation_Address_City</v>
      </c>
      <c r="B28" t="str">
        <f t="shared" si="0"/>
        <v xml:space="preserve">intRowContactInformation_Address_City, </v>
      </c>
      <c r="C2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intRowContactInformation_Address_PostalCode, intRowContactInformation_Address_City, </v>
      </c>
      <c r="D28" t="str">
        <f t="shared" si="1"/>
        <v xml:space="preserve">strContactInformation_Address_City, </v>
      </c>
      <c r="E2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strContactInformation_Address_PostalCode, strContactInformation_Address_City, </v>
      </c>
      <c r="F28" s="5" t="str">
        <f t="shared" si="2"/>
        <v>intRowContactInformation_Address_City = comExcelWorksheet.Range("ContactInformation_Address_City").Row</v>
      </c>
      <c r="G28" s="5" t="str">
        <f t="shared" si="6"/>
        <v>strContactInformation_Address_City = comExcelWorksheet.Cells(intRowContactInformation_Address_City, intColTestColumn).Value</v>
      </c>
      <c r="H28" t="str">
        <f t="shared" si="3"/>
        <v>Public Property Get getContactInformation_Address_City() : getContactInformation_Address_City = strContactInformation_Address_City : End Property</v>
      </c>
    </row>
    <row r="29" spans="1:8" x14ac:dyDescent="0.35">
      <c r="A29" t="e">
        <f>Test_Data!#REF!</f>
        <v>#REF!</v>
      </c>
      <c r="B29" t="e">
        <f t="shared" si="0"/>
        <v>#REF!</v>
      </c>
      <c r="C29" t="e">
        <f t="shared" si="4"/>
        <v>#REF!</v>
      </c>
      <c r="D29" t="e">
        <f t="shared" si="1"/>
        <v>#REF!</v>
      </c>
      <c r="E29" t="e">
        <f t="shared" si="5"/>
        <v>#REF!</v>
      </c>
      <c r="F29" s="5" t="e">
        <f t="shared" si="2"/>
        <v>#REF!</v>
      </c>
      <c r="G29" s="5" t="e">
        <f t="shared" si="6"/>
        <v>#REF!</v>
      </c>
      <c r="H29" t="e">
        <f t="shared" si="3"/>
        <v>#REF!</v>
      </c>
    </row>
    <row r="30" spans="1:8" x14ac:dyDescent="0.35">
      <c r="A30" t="str">
        <f>Test_Data!D33</f>
        <v>ContactInformation_Address_Type</v>
      </c>
      <c r="B30" t="str">
        <f t="shared" si="0"/>
        <v xml:space="preserve">intRowContactInformation_Address_Type, </v>
      </c>
      <c r="C30" t="e">
        <f t="shared" si="4"/>
        <v>#REF!</v>
      </c>
      <c r="D30" t="str">
        <f t="shared" si="1"/>
        <v xml:space="preserve">strContactInformation_Address_Type, </v>
      </c>
      <c r="E30" t="e">
        <f t="shared" si="5"/>
        <v>#REF!</v>
      </c>
      <c r="F30" s="5" t="str">
        <f t="shared" si="2"/>
        <v>intRowContactInformation_Address_Type = comExcelWorksheet.Range("ContactInformation_Address_Type").Row</v>
      </c>
      <c r="G30" s="5"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Test_Data!D34</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5" t="str">
        <f t="shared" si="2"/>
        <v>intRowContactInformation_Address_UseFor = comExcelWorksheet.Range("ContactInformation_Address_UseFor").Row</v>
      </c>
      <c r="G31" s="5"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Test_Data!D35</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5" t="str">
        <f t="shared" si="2"/>
        <v>intRowContactInformation_Email_EmailAddress = comExcelWorksheet.Range("ContactInformation_Email_EmailAddress").Row</v>
      </c>
      <c r="G32" s="5"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Test_Data!D36</f>
        <v>ContactInformation_Email_Type</v>
      </c>
      <c r="B33" t="str">
        <f t="shared" si="0"/>
        <v xml:space="preserve">intRowContactInformation_Email_Type, </v>
      </c>
      <c r="C33" t="e">
        <f t="shared" si="4"/>
        <v>#REF!</v>
      </c>
      <c r="D33" t="str">
        <f t="shared" si="1"/>
        <v xml:space="preserve">strContactInformation_Email_Type, </v>
      </c>
      <c r="E33" t="e">
        <f t="shared" si="5"/>
        <v>#REF!</v>
      </c>
      <c r="F33" s="5" t="str">
        <f t="shared" si="2"/>
        <v>intRowContactInformation_Email_Type = comExcelWorksheet.Range("ContactInformation_Email_Type").Row</v>
      </c>
      <c r="G33" s="5"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Test_Data!D37</f>
        <v>JobDetails_HireDate</v>
      </c>
      <c r="B34" t="str">
        <f t="shared" si="0"/>
        <v xml:space="preserve">intRowJobDetails_HireDate, </v>
      </c>
      <c r="C34" t="e">
        <f t="shared" si="4"/>
        <v>#REF!</v>
      </c>
      <c r="D34" t="str">
        <f t="shared" si="1"/>
        <v xml:space="preserve">strJobDetails_HireDate, </v>
      </c>
      <c r="E34" t="e">
        <f t="shared" si="5"/>
        <v>#REF!</v>
      </c>
      <c r="F34" s="5" t="str">
        <f t="shared" si="2"/>
        <v>intRowJobDetails_HireDate = comExcelWorksheet.Range("JobDetails_HireDate").Row</v>
      </c>
      <c r="G34" s="5"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Test_Data!D39</f>
        <v>JobDetails_Reason</v>
      </c>
      <c r="B35" t="str">
        <f t="shared" si="0"/>
        <v xml:space="preserve">intRowJobDetails_Reason, </v>
      </c>
      <c r="C35" t="e">
        <f t="shared" si="4"/>
        <v>#REF!</v>
      </c>
      <c r="D35" t="str">
        <f t="shared" si="1"/>
        <v xml:space="preserve">strJobDetails_Reason, </v>
      </c>
      <c r="E35" t="e">
        <f t="shared" si="5"/>
        <v>#REF!</v>
      </c>
      <c r="F35" s="5" t="str">
        <f t="shared" si="2"/>
        <v>intRowJobDetails_Reason = comExcelWorksheet.Range("JobDetails_Reason").Row</v>
      </c>
      <c r="G35" s="5"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Test_Data!D40</f>
        <v>JobDetails_Position</v>
      </c>
      <c r="B36" t="str">
        <f t="shared" si="0"/>
        <v xml:space="preserve">intRowJobDetails_Position, </v>
      </c>
      <c r="C36" t="e">
        <f t="shared" si="4"/>
        <v>#REF!</v>
      </c>
      <c r="D36" t="str">
        <f t="shared" si="1"/>
        <v xml:space="preserve">strJobDetails_Position, </v>
      </c>
      <c r="E36" t="e">
        <f t="shared" si="5"/>
        <v>#REF!</v>
      </c>
      <c r="F36" s="5" t="str">
        <f t="shared" si="2"/>
        <v>intRowJobDetails_Position = comExcelWorksheet.Range("JobDetails_Position").Row</v>
      </c>
      <c r="G36" s="5"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Test_Data!D41</f>
        <v>JobDetails_EmployeeType</v>
      </c>
      <c r="B37" t="str">
        <f t="shared" si="0"/>
        <v xml:space="preserve">intRowJobDetails_EmployeeType, </v>
      </c>
      <c r="C37" t="e">
        <f t="shared" si="4"/>
        <v>#REF!</v>
      </c>
      <c r="D37" t="str">
        <f t="shared" si="1"/>
        <v xml:space="preserve">strJobDetails_EmployeeType, </v>
      </c>
      <c r="E37" t="e">
        <f t="shared" si="5"/>
        <v>#REF!</v>
      </c>
      <c r="F37" s="5" t="str">
        <f t="shared" si="2"/>
        <v>intRowJobDetails_EmployeeType = comExcelWorksheet.Range("JobDetails_EmployeeType").Row</v>
      </c>
      <c r="G37" s="5"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Test_Data!D42</f>
        <v>JobDetails_JobProfile</v>
      </c>
      <c r="B38" t="str">
        <f t="shared" si="0"/>
        <v xml:space="preserve">intRowJobDetails_JobProfile, </v>
      </c>
      <c r="C38" t="e">
        <f t="shared" si="4"/>
        <v>#REF!</v>
      </c>
      <c r="D38" t="str">
        <f t="shared" si="1"/>
        <v xml:space="preserve">strJobDetails_JobProfile, </v>
      </c>
      <c r="E38" t="e">
        <f t="shared" si="5"/>
        <v>#REF!</v>
      </c>
      <c r="F38" s="5" t="str">
        <f t="shared" si="2"/>
        <v>intRowJobDetails_JobProfile = comExcelWorksheet.Range("JobDetails_JobProfile").Row</v>
      </c>
      <c r="G38" s="5"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Test_Data!D43</f>
        <v>JobDetails_TimeType</v>
      </c>
      <c r="B39" t="str">
        <f t="shared" si="0"/>
        <v xml:space="preserve">intRowJobDetails_TimeType, </v>
      </c>
      <c r="C39" t="e">
        <f t="shared" si="4"/>
        <v>#REF!</v>
      </c>
      <c r="D39" t="str">
        <f t="shared" si="1"/>
        <v xml:space="preserve">strJobDetails_TimeType, </v>
      </c>
      <c r="E39" t="e">
        <f t="shared" si="5"/>
        <v>#REF!</v>
      </c>
      <c r="F39" s="5" t="str">
        <f t="shared" si="2"/>
        <v>intRowJobDetails_TimeType = comExcelWorksheet.Range("JobDetails_TimeType").Row</v>
      </c>
      <c r="G39" s="5"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Test_Data!D44</f>
        <v>JobDetails_Location</v>
      </c>
      <c r="B40" t="str">
        <f t="shared" si="0"/>
        <v xml:space="preserve">intRowJobDetails_Location, </v>
      </c>
      <c r="C40" t="e">
        <f t="shared" si="4"/>
        <v>#REF!</v>
      </c>
      <c r="D40" t="str">
        <f t="shared" si="1"/>
        <v xml:space="preserve">strJobDetails_Location, </v>
      </c>
      <c r="E40" t="e">
        <f t="shared" si="5"/>
        <v>#REF!</v>
      </c>
      <c r="F40" s="5" t="str">
        <f t="shared" si="2"/>
        <v>intRowJobDetails_Location = comExcelWorksheet.Range("JobDetails_Location").Row</v>
      </c>
      <c r="G40" s="5"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str">
        <f>Test_Data!D46</f>
        <v>JobDetails_AdditionalInformation_ScheduledWeeklyHours</v>
      </c>
      <c r="B41" t="str">
        <f t="shared" si="0"/>
        <v xml:space="preserve">intRowJobDetails_AdditionalInformation_ScheduledWeeklyHours, </v>
      </c>
      <c r="C41" t="e">
        <f t="shared" si="4"/>
        <v>#REF!</v>
      </c>
      <c r="D41" t="str">
        <f t="shared" si="1"/>
        <v xml:space="preserve">strJobDetails_AdditionalInformation_ScheduledWeeklyHours, </v>
      </c>
      <c r="E41" t="e">
        <f t="shared" si="5"/>
        <v>#REF!</v>
      </c>
      <c r="F41" s="5" t="str">
        <f t="shared" si="2"/>
        <v>intRowJobDetails_AdditionalInformation_ScheduledWeeklyHours = comExcelWorksheet.Range("JobDetails_AdditionalInformation_ScheduledWeeklyHours").Row</v>
      </c>
      <c r="G41" s="5" t="str">
        <f t="shared" si="6"/>
        <v>strJobDetails_AdditionalInformation_ScheduledWeeklyHours = comExcelWorksheet.Cells(intRowJobDetails_AdditionalInformation_ScheduledWeeklyHours, intColTestColumn).Value</v>
      </c>
      <c r="H41" t="str">
        <f t="shared" si="3"/>
        <v>Public Property Get getJobDetails_AdditionalInformation_ScheduledWeeklyHours() : getJobDetails_AdditionalInformation_ScheduledWeeklyHours = strJobDetails_AdditionalInformation_ScheduledWeeklyHours : End Property</v>
      </c>
    </row>
    <row r="42" spans="1:8" x14ac:dyDescent="0.35">
      <c r="A42" t="str">
        <f>Test_Data!D47</f>
        <v>JobDetails_AdditionalInformation_AdditionalJobClassifications</v>
      </c>
      <c r="B42" t="str">
        <f t="shared" si="0"/>
        <v xml:space="preserve">intRowJobDetails_AdditionalInformation_AdditionalJobClassifications, </v>
      </c>
      <c r="C42" t="e">
        <f t="shared" si="4"/>
        <v>#REF!</v>
      </c>
      <c r="D42" t="str">
        <f t="shared" si="1"/>
        <v xml:space="preserve">strJobDetails_AdditionalInformation_AdditionalJobClassifications, </v>
      </c>
      <c r="E42" t="e">
        <f t="shared" si="5"/>
        <v>#REF!</v>
      </c>
      <c r="F42" s="5" t="str">
        <f t="shared" si="2"/>
        <v>intRowJobDetails_AdditionalInformation_AdditionalJobClassifications = comExcelWorksheet.Range("JobDetails_AdditionalInformation_AdditionalJobClassifications").Row</v>
      </c>
      <c r="G42" s="5" t="str">
        <f t="shared" si="6"/>
        <v>strJobDetails_AdditionalInformation_AdditionalJobClassifications = comExcelWorksheet.Cells(intRowJobDetails_AdditionalInformation_AdditionalJobClassifications, intColTestColumn).Value</v>
      </c>
      <c r="H42" t="str">
        <f t="shared" si="3"/>
        <v>Public Property Get getJobDetails_AdditionalInformation_AdditionalJobClassifications() : getJobDetails_AdditionalInformation_AdditionalJobClassifications = strJobDetails_AdditionalInformation_AdditionalJobClassifications : End Property</v>
      </c>
    </row>
    <row r="43" spans="1:8" x14ac:dyDescent="0.35">
      <c r="A43" t="str">
        <f>Test_Data!D48</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5" t="str">
        <f t="shared" si="2"/>
        <v>intRowJobDetails_AdditionalInformation_WorkShift = comExcelWorksheet.Range("JobDetails_AdditionalInformation_WorkShift").Row</v>
      </c>
      <c r="G43" s="5"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str">
        <f>Test_Data!D49</f>
        <v>JobDetails_AdditionalInformation_EndEmploymentDate</v>
      </c>
      <c r="B44" t="str">
        <f t="shared" si="0"/>
        <v xml:space="preserve">intRowJobDetails_AdditionalInformation_EndEmploymentDate, </v>
      </c>
      <c r="C44" t="e">
        <f t="shared" si="4"/>
        <v>#REF!</v>
      </c>
      <c r="D44" t="str">
        <f t="shared" si="1"/>
        <v xml:space="preserve">strJobDetails_AdditionalInformation_EndEmploymentDate, </v>
      </c>
      <c r="E44" t="e">
        <f t="shared" si="5"/>
        <v>#REF!</v>
      </c>
      <c r="F44" s="5" t="str">
        <f t="shared" si="2"/>
        <v>intRowJobDetails_AdditionalInformation_EndEmploymentDate = comExcelWorksheet.Range("JobDetails_AdditionalInformation_EndEmploymentDate").Row</v>
      </c>
      <c r="G44" s="5" t="str">
        <f t="shared" si="6"/>
        <v>strJobDetails_AdditionalInformation_EndEmploymentDate = comExcelWorksheet.Cells(intRowJobDetails_AdditionalInformation_EndEmploymentDate, intColTestColumn).Value</v>
      </c>
      <c r="H44" t="str">
        <f t="shared" si="3"/>
        <v>Public Property Get getJobDetails_AdditionalInformation_EndEmploymentDate() : getJobDetails_AdditionalInformation_EndEmploymentDate = strJobDetails_AdditionalInformation_EndEmploymentDate : End Property</v>
      </c>
    </row>
    <row r="45" spans="1:8" x14ac:dyDescent="0.35">
      <c r="A45" t="str">
        <f>Test_Data!D50</f>
        <v>JobDetails_AdditionalInformation_Comments</v>
      </c>
      <c r="B45" t="str">
        <f t="shared" si="0"/>
        <v xml:space="preserve">intRowJobDetails_AdditionalInformation_Comments, </v>
      </c>
      <c r="C45" t="e">
        <f t="shared" si="4"/>
        <v>#REF!</v>
      </c>
      <c r="D45" t="str">
        <f t="shared" si="1"/>
        <v xml:space="preserve">strJobDetails_AdditionalInformation_Comments, </v>
      </c>
      <c r="E45" t="e">
        <f t="shared" si="5"/>
        <v>#REF!</v>
      </c>
      <c r="F45" s="5" t="str">
        <f t="shared" si="2"/>
        <v>intRowJobDetails_AdditionalInformation_Comments = comExcelWorksheet.Range("JobDetails_AdditionalInformation_Comments").Row</v>
      </c>
      <c r="G45" s="5" t="str">
        <f t="shared" si="6"/>
        <v>strJobDetails_AdditionalInformation_Comments = comExcelWorksheet.Cells(intRowJobDetails_AdditionalInformation_Comments, intColTestColumn).Value</v>
      </c>
      <c r="H45" t="str">
        <f t="shared" si="3"/>
        <v>Public Property Get getJobDetails_AdditionalInformation_Comments() : getJobDetails_AdditionalInformation_Comments = strJobDetails_AdditionalInformation_Comments : End Property</v>
      </c>
    </row>
    <row r="46" spans="1:8" x14ac:dyDescent="0.35">
      <c r="A46" t="str">
        <f>Test_Data!D51</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5" t="str">
        <f t="shared" si="2"/>
        <v>intRowChangeOrganizationAssignments_CostCenter = comExcelWorksheet.Range("ChangeOrganizationAssignments_CostCenter").Row</v>
      </c>
      <c r="G46" s="5"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Test_Data!D52</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5" t="str">
        <f t="shared" si="2"/>
        <v>intRowChangeOrganizationAssignments_DepartmentSection = comExcelWorksheet.Range("ChangeOrganizationAssignments_DepartmentSection").Row</v>
      </c>
      <c r="G47" s="5"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str">
        <f>Test_Data!D72</f>
        <v>AssignPayGroup_ProposedPayGroupFinal</v>
      </c>
      <c r="B48" t="str">
        <f t="shared" si="0"/>
        <v xml:space="preserve">intRowAssignPayGroup_ProposedPayGroupFinal, </v>
      </c>
      <c r="C48" t="e">
        <f t="shared" si="4"/>
        <v>#REF!</v>
      </c>
      <c r="D48" t="str">
        <f t="shared" si="1"/>
        <v xml:space="preserve">strAssignPayGroup_ProposedPayGroupFinal, </v>
      </c>
      <c r="E48" t="e">
        <f t="shared" si="5"/>
        <v>#REF!</v>
      </c>
      <c r="F48" s="5" t="str">
        <f t="shared" si="2"/>
        <v>intRowAssignPayGroup_ProposedPayGroupFinal = comExcelWorksheet.Range("AssignPayGroup_ProposedPayGroupFinal").Row</v>
      </c>
      <c r="G48" s="5" t="str">
        <f t="shared" si="6"/>
        <v>strAssignPayGroup_ProposedPayGroupFinal = comExcelWorksheet.Cells(intRowAssignPayGroup_ProposedPayGroupFinal, intColTestColumn).Value</v>
      </c>
      <c r="H48" t="str">
        <f t="shared" si="3"/>
        <v>Public Property Get getAssignPayGroup_ProposedPayGroupFinal() : getAssignPayGroup_ProposedPayGroupFinal = strAssignPayGroup_ProposedPayGroupFinal : End Property</v>
      </c>
    </row>
    <row r="49" spans="1:8" x14ac:dyDescent="0.35">
      <c r="A49" t="e">
        <f>Test_Data!#REF!</f>
        <v>#REF!</v>
      </c>
      <c r="B49" t="e">
        <f t="shared" si="0"/>
        <v>#REF!</v>
      </c>
      <c r="C49" t="e">
        <f t="shared" si="4"/>
        <v>#REF!</v>
      </c>
      <c r="D49" t="e">
        <f t="shared" si="1"/>
        <v>#REF!</v>
      </c>
      <c r="E49" t="e">
        <f t="shared" si="5"/>
        <v>#REF!</v>
      </c>
      <c r="F49" s="5" t="e">
        <f t="shared" si="2"/>
        <v>#REF!</v>
      </c>
      <c r="G49" s="5" t="e">
        <f t="shared" si="6"/>
        <v>#REF!</v>
      </c>
      <c r="H49" t="e">
        <f t="shared" si="3"/>
        <v>#REF!</v>
      </c>
    </row>
    <row r="50" spans="1:8" x14ac:dyDescent="0.35">
      <c r="A50" t="e">
        <f>Test_Data!#REF!</f>
        <v>#REF!</v>
      </c>
      <c r="B50" t="e">
        <f t="shared" si="0"/>
        <v>#REF!</v>
      </c>
      <c r="C50" t="e">
        <f t="shared" si="4"/>
        <v>#REF!</v>
      </c>
      <c r="D50" t="e">
        <f t="shared" si="1"/>
        <v>#REF!</v>
      </c>
      <c r="E50" t="e">
        <f t="shared" si="5"/>
        <v>#REF!</v>
      </c>
      <c r="F50" s="5" t="e">
        <f t="shared" si="2"/>
        <v>#REF!</v>
      </c>
      <c r="G50" s="5" t="e">
        <f t="shared" si="6"/>
        <v>#REF!</v>
      </c>
      <c r="H50" t="e">
        <f t="shared" si="3"/>
        <v>#REF!</v>
      </c>
    </row>
    <row r="51" spans="1:8" x14ac:dyDescent="0.35">
      <c r="A51" t="e">
        <f>Test_Data!#REF!</f>
        <v>#REF!</v>
      </c>
      <c r="B51" t="e">
        <f t="shared" si="0"/>
        <v>#REF!</v>
      </c>
      <c r="C51" t="e">
        <f t="shared" si="4"/>
        <v>#REF!</v>
      </c>
      <c r="D51" t="e">
        <f t="shared" si="1"/>
        <v>#REF!</v>
      </c>
      <c r="E51" t="e">
        <f t="shared" si="5"/>
        <v>#REF!</v>
      </c>
      <c r="F51" s="5" t="e">
        <f t="shared" si="2"/>
        <v>#REF!</v>
      </c>
      <c r="G51" s="5" t="e">
        <f t="shared" si="6"/>
        <v>#REF!</v>
      </c>
      <c r="H51" t="e">
        <f t="shared" si="3"/>
        <v>#REF!</v>
      </c>
    </row>
    <row r="52" spans="1:8" x14ac:dyDescent="0.35">
      <c r="A52" t="e">
        <f>Test_Data!#REF!</f>
        <v>#REF!</v>
      </c>
      <c r="B52" t="e">
        <f t="shared" si="0"/>
        <v>#REF!</v>
      </c>
      <c r="C52" t="e">
        <f t="shared" si="4"/>
        <v>#REF!</v>
      </c>
      <c r="D52" t="e">
        <f t="shared" si="1"/>
        <v>#REF!</v>
      </c>
      <c r="E52" t="e">
        <f t="shared" si="5"/>
        <v>#REF!</v>
      </c>
      <c r="F52" s="5" t="e">
        <f t="shared" si="2"/>
        <v>#REF!</v>
      </c>
      <c r="G52" s="5" t="e">
        <f t="shared" si="6"/>
        <v>#REF!</v>
      </c>
      <c r="H52" t="e">
        <f t="shared" si="3"/>
        <v>#REF!</v>
      </c>
    </row>
    <row r="53" spans="1:8" x14ac:dyDescent="0.35">
      <c r="A53" t="e">
        <f>Test_Data!#REF!</f>
        <v>#REF!</v>
      </c>
      <c r="B53" t="e">
        <f t="shared" si="0"/>
        <v>#REF!</v>
      </c>
      <c r="C53" t="e">
        <f t="shared" si="4"/>
        <v>#REF!</v>
      </c>
      <c r="D53" t="e">
        <f t="shared" si="1"/>
        <v>#REF!</v>
      </c>
      <c r="E53" t="e">
        <f t="shared" si="5"/>
        <v>#REF!</v>
      </c>
      <c r="F53" s="5" t="e">
        <f t="shared" si="2"/>
        <v>#REF!</v>
      </c>
      <c r="G53" s="5" t="e">
        <f t="shared" si="6"/>
        <v>#REF!</v>
      </c>
      <c r="H53" t="e">
        <f t="shared" si="3"/>
        <v>#REF!</v>
      </c>
    </row>
    <row r="54" spans="1:8" x14ac:dyDescent="0.35">
      <c r="A54" t="e">
        <f>Test_Data!#REF!</f>
        <v>#REF!</v>
      </c>
      <c r="B54" t="e">
        <f t="shared" si="0"/>
        <v>#REF!</v>
      </c>
      <c r="C54" t="e">
        <f t="shared" si="4"/>
        <v>#REF!</v>
      </c>
      <c r="D54" t="e">
        <f t="shared" si="1"/>
        <v>#REF!</v>
      </c>
      <c r="E54" t="e">
        <f t="shared" si="5"/>
        <v>#REF!</v>
      </c>
      <c r="F54" s="5" t="e">
        <f t="shared" si="2"/>
        <v>#REF!</v>
      </c>
      <c r="G54" s="5" t="e">
        <f t="shared" si="6"/>
        <v>#REF!</v>
      </c>
      <c r="H54" t="e">
        <f t="shared" si="3"/>
        <v>#REF!</v>
      </c>
    </row>
    <row r="55" spans="1:8" x14ac:dyDescent="0.35">
      <c r="A55" t="str">
        <f>Test_Data!D67</f>
        <v>ProposeCompensationHire_Salary</v>
      </c>
      <c r="B55" t="str">
        <f t="shared" si="0"/>
        <v xml:space="preserve">intRowProposeCompensationHire_Salary, </v>
      </c>
      <c r="C55" t="e">
        <f t="shared" si="4"/>
        <v>#REF!</v>
      </c>
      <c r="D55" t="str">
        <f t="shared" si="1"/>
        <v xml:space="preserve">strProposeCompensationHire_Salary, </v>
      </c>
      <c r="E55" t="e">
        <f t="shared" si="5"/>
        <v>#REF!</v>
      </c>
      <c r="F55" s="5" t="str">
        <f t="shared" si="2"/>
        <v>intRowProposeCompensationHire_Salary = comExcelWorksheet.Range("ProposeCompensationHire_Salary").Row</v>
      </c>
      <c r="G55" s="5" t="str">
        <f t="shared" si="6"/>
        <v>strProposeCompensationHire_Salary = comExcelWorksheet.Cells(intRowProposeCompensationHire_Salary, intColTestColumn).Value</v>
      </c>
      <c r="H55" t="str">
        <f t="shared" si="3"/>
        <v>Public Property Get getProposeCompensationHire_Salary() : getProposeCompensationHire_Salary = strProposeCompensationHire_Salary : End Property</v>
      </c>
    </row>
    <row r="56" spans="1:8" x14ac:dyDescent="0.35">
      <c r="A56" t="str">
        <f>Test_Data!D58</f>
        <v>ChangeMyPersonalInformation_Gender</v>
      </c>
      <c r="B56" t="str">
        <f t="shared" si="0"/>
        <v xml:space="preserve">intRowChangeMyPersonalInformation_Gender, </v>
      </c>
      <c r="C56" t="e">
        <f t="shared" si="4"/>
        <v>#REF!</v>
      </c>
      <c r="D56" t="str">
        <f t="shared" si="1"/>
        <v xml:space="preserve">strChangeMyPersonalInformation_Gender, </v>
      </c>
      <c r="E56" t="e">
        <f t="shared" si="5"/>
        <v>#REF!</v>
      </c>
      <c r="F56" s="5" t="str">
        <f t="shared" si="2"/>
        <v>intRowChangeMyPersonalInformation_Gender = comExcelWorksheet.Range("ChangeMyPersonalInformation_Gender").Row</v>
      </c>
      <c r="G56" s="5" t="str">
        <f t="shared" si="6"/>
        <v>strChangeMyPersonalInformation_Gender = comExcelWorksheet.Cells(intRowChangeMyPersonalInformation_Gender, intColTestColumn).Value</v>
      </c>
      <c r="H56" t="str">
        <f t="shared" si="3"/>
        <v>Public Property Get getChangeMyPersonalInformation_Gender() : getChangeMyPersonalInformation_Gender = strChangeMyPersonalInformation_Gender : End Property</v>
      </c>
    </row>
    <row r="57" spans="1:8" x14ac:dyDescent="0.35">
      <c r="A57" t="str">
        <f>Test_Data!D59</f>
        <v>ChangeMyPersonalInformation_DateOfBirth</v>
      </c>
      <c r="B57" t="str">
        <f t="shared" si="0"/>
        <v xml:space="preserve">intRowChangeMyPersonalInformation_DateOfBirth, </v>
      </c>
      <c r="C57" t="e">
        <f t="shared" si="4"/>
        <v>#REF!</v>
      </c>
      <c r="D57" t="str">
        <f t="shared" si="1"/>
        <v xml:space="preserve">strChangeMyPersonalInformation_DateOfBirth, </v>
      </c>
      <c r="E57" t="e">
        <f t="shared" si="5"/>
        <v>#REF!</v>
      </c>
      <c r="F57" s="5" t="str">
        <f t="shared" si="2"/>
        <v>intRowChangeMyPersonalInformation_DateOfBirth = comExcelWorksheet.Range("ChangeMyPersonalInformation_DateOfBirth").Row</v>
      </c>
      <c r="G57" s="5" t="str">
        <f t="shared" si="6"/>
        <v>strChangeMyPersonalInformation_DateOfBirth = comExcelWorksheet.Cells(intRowChangeMyPersonalInformation_DateOfBirth, intColTestColumn).Value</v>
      </c>
      <c r="H57" t="str">
        <f t="shared" si="3"/>
        <v>Public Property Get getChangeMyPersonalInformation_DateOfBirth() : getChangeMyPersonalInformation_DateOfBirth = strChangeMyPersonalInformation_DateOfBirth : End Property</v>
      </c>
    </row>
    <row r="58" spans="1:8" x14ac:dyDescent="0.35">
      <c r="A58" t="str">
        <f>Test_Data!D62</f>
        <v>ChangeMyPersonalInformation_CityOfBirth</v>
      </c>
      <c r="B58" t="str">
        <f t="shared" si="0"/>
        <v xml:space="preserve">intRowChangeMyPersonalInformation_CityOfBirth, </v>
      </c>
      <c r="C58" t="e">
        <f t="shared" si="4"/>
        <v>#REF!</v>
      </c>
      <c r="D58" t="str">
        <f t="shared" si="1"/>
        <v xml:space="preserve">strChangeMyPersonalInformation_CityOfBirth, </v>
      </c>
      <c r="E58" t="e">
        <f t="shared" si="5"/>
        <v>#REF!</v>
      </c>
      <c r="F58" s="5" t="str">
        <f t="shared" si="2"/>
        <v>intRowChangeMyPersonalInformation_CityOfBirth = comExcelWorksheet.Range("ChangeMyPersonalInformation_CityOfBirth").Row</v>
      </c>
      <c r="G58" s="5" t="str">
        <f t="shared" si="6"/>
        <v>strChangeMyPersonalInformation_CityOfBirth = comExcelWorksheet.Cells(intRowChangeMyPersonalInformation_CityOfBirth, intColTestColumn).Value</v>
      </c>
      <c r="H58" t="str">
        <f t="shared" si="3"/>
        <v>Public Property Get getChangeMyPersonalInformation_CityOfBirth() : getChangeMyPersonalInformation_CityOfBirth = strChangeMyPersonalInformation_CityOfBirth : End Property</v>
      </c>
    </row>
    <row r="59" spans="1:8" x14ac:dyDescent="0.35">
      <c r="A59" t="str">
        <f>Test_Data!D63</f>
        <v>ChangeMyPersonalInformation_MaritalStatus</v>
      </c>
      <c r="B59" t="str">
        <f t="shared" si="0"/>
        <v xml:space="preserve">intRowChangeMyPersonalInformation_MaritalStatus, </v>
      </c>
      <c r="C59" t="e">
        <f t="shared" si="4"/>
        <v>#REF!</v>
      </c>
      <c r="D59" t="str">
        <f t="shared" si="1"/>
        <v xml:space="preserve">strChangeMyPersonalInformation_MaritalStatus, </v>
      </c>
      <c r="E59" t="e">
        <f t="shared" si="5"/>
        <v>#REF!</v>
      </c>
      <c r="F59" s="5" t="str">
        <f t="shared" si="2"/>
        <v>intRowChangeMyPersonalInformation_MaritalStatus = comExcelWorksheet.Range("ChangeMyPersonalInformation_MaritalStatus").Row</v>
      </c>
      <c r="G59" s="5" t="str">
        <f t="shared" si="6"/>
        <v>strChangeMyPersonalInformation_MaritalStatus = comExcelWorksheet.Cells(intRowChangeMyPersonalInformation_MaritalStatus, intColTestColumn).Value</v>
      </c>
      <c r="H59" t="str">
        <f t="shared" si="3"/>
        <v>Public Property Get getChangeMyPersonalInformation_MaritalStatus() : getChangeMyPersonalInformation_MaritalStatus = strChangeMyPersonalInformation_MaritalStatus : End Property</v>
      </c>
    </row>
    <row r="60" spans="1:8" x14ac:dyDescent="0.35">
      <c r="A60" t="str">
        <f>Test_Data!D64</f>
        <v>ChangeMyPersonalInformation_MaritalStatusDate</v>
      </c>
      <c r="B60" t="str">
        <f t="shared" si="0"/>
        <v xml:space="preserve">intRowChangeMyPersonalInformation_MaritalStatusDate, </v>
      </c>
      <c r="C60" t="e">
        <f t="shared" si="4"/>
        <v>#REF!</v>
      </c>
      <c r="D60" t="str">
        <f t="shared" si="1"/>
        <v xml:space="preserve">strChangeMyPersonalInformation_MaritalStatusDate, </v>
      </c>
      <c r="E60" t="e">
        <f t="shared" si="5"/>
        <v>#REF!</v>
      </c>
      <c r="F60" s="5" t="str">
        <f t="shared" si="2"/>
        <v>intRowChangeMyPersonalInformation_MaritalStatusDate = comExcelWorksheet.Range("ChangeMyPersonalInformation_MaritalStatusDate").Row</v>
      </c>
      <c r="G60" s="5" t="str">
        <f t="shared" si="6"/>
        <v>strChangeMyPersonalInformation_MaritalStatusDate = comExcelWorksheet.Cells(intRowChangeMyPersonalInformation_MaritalStatusDate, intColTestColumn).Value</v>
      </c>
      <c r="H60" t="str">
        <f t="shared" si="3"/>
        <v>Public Property Get getChangeMyPersonalInformation_MaritalStatusDate() : getChangeMyPersonalInformation_MaritalStatusDate = strChangeMyPersonalInformation_MaritalStatusDate : End Property</v>
      </c>
    </row>
    <row r="61" spans="1:8" x14ac:dyDescent="0.35">
      <c r="A61" t="str">
        <f>Test_Data!D66</f>
        <v>ChangeMyPersonalInformation_PrimaryNationality</v>
      </c>
      <c r="B61" t="str">
        <f t="shared" si="0"/>
        <v xml:space="preserve">intRowChangeMyPersonalInformation_PrimaryNationality, </v>
      </c>
      <c r="C61" t="e">
        <f t="shared" si="4"/>
        <v>#REF!</v>
      </c>
      <c r="D61" t="str">
        <f t="shared" si="1"/>
        <v xml:space="preserve">strChangeMyPersonalInformation_PrimaryNationality, </v>
      </c>
      <c r="E61" t="e">
        <f t="shared" si="5"/>
        <v>#REF!</v>
      </c>
      <c r="F61" s="5" t="str">
        <f t="shared" si="2"/>
        <v>intRowChangeMyPersonalInformation_PrimaryNationality = comExcelWorksheet.Range("ChangeMyPersonalInformation_PrimaryNationality").Row</v>
      </c>
      <c r="G61" s="5" t="str">
        <f t="shared" si="6"/>
        <v>strChangeMyPersonalInformation_PrimaryNationality = comExcelWorksheet.Cells(intRowChangeMyPersonalInformation_PrimaryNationality, intColTestColumn).Value</v>
      </c>
      <c r="H61" t="str">
        <f t="shared" si="3"/>
        <v>Public Property Get getChangeMyPersonalInformation_PrimaryNationality() : getChangeMyPersonalInformation_PrimaryNationality = strChangeMyPersonalInformation_PrimaryNationality : End Property</v>
      </c>
    </row>
    <row r="62" spans="1:8" x14ac:dyDescent="0.35">
      <c r="A62" t="str">
        <f>Test_Data!D53</f>
        <v>ChangeMyGovernmentIDs_NationalIDs_Country1</v>
      </c>
      <c r="B62" t="str">
        <f t="shared" si="0"/>
        <v xml:space="preserve">intRowChangeMyGovernmentIDs_NationalIDs_Country1, </v>
      </c>
      <c r="C62" t="e">
        <f t="shared" si="4"/>
        <v>#REF!</v>
      </c>
      <c r="D62" t="str">
        <f t="shared" si="1"/>
        <v xml:space="preserve">strChangeMyGovernmentIDs_NationalIDs_Country1, </v>
      </c>
      <c r="E62" t="e">
        <f t="shared" si="5"/>
        <v>#REF!</v>
      </c>
      <c r="F62" s="5" t="str">
        <f t="shared" si="2"/>
        <v>intRowChangeMyGovernmentIDs_NationalIDs_Country1 = comExcelWorksheet.Range("ChangeMyGovernmentIDs_NationalIDs_Country1").Row</v>
      </c>
      <c r="G62" s="5" t="str">
        <f t="shared" si="6"/>
        <v>strChangeMyGovernmentIDs_NationalIDs_Country1 = comExcelWorksheet.Cells(intRowChangeMyGovernmentIDs_NationalIDs_Country1, intColTestColumn).Value</v>
      </c>
      <c r="H62" t="str">
        <f t="shared" si="3"/>
        <v>Public Property Get getChangeMyGovernmentIDs_NationalIDs_Country1() : getChangeMyGovernmentIDs_NationalIDs_Country1 = strChangeMyGovernmentIDs_NationalIDs_Country1 : End Property</v>
      </c>
    </row>
    <row r="63" spans="1:8" x14ac:dyDescent="0.35">
      <c r="A63" t="str">
        <f>Test_Data!D56</f>
        <v>ChangeMyGovernmentIDs_NationalIDs_NationalIDType1</v>
      </c>
      <c r="B63" t="str">
        <f t="shared" ref="B63:B72" si="7">"intRow" &amp; A63 &amp; ", "</f>
        <v xml:space="preserve">intRowChangeMyGovernmentIDs_NationalIDs_NationalIDType1, </v>
      </c>
      <c r="C63" t="e">
        <f t="shared" si="4"/>
        <v>#REF!</v>
      </c>
      <c r="D63" t="str">
        <f t="shared" ref="D63:D74" si="8">"str" &amp; A63 &amp; ", "</f>
        <v xml:space="preserve">strChangeMyGovernmentIDs_NationalIDs_NationalIDType1, </v>
      </c>
      <c r="E63" t="e">
        <f t="shared" si="5"/>
        <v>#REF!</v>
      </c>
      <c r="F63" s="5" t="str">
        <f t="shared" ref="F63:F74" si="9">"intRow" &amp; A63 &amp; " = comExcelWorksheet.Range(""" &amp; A63 &amp; """).Row"</f>
        <v>intRowChangeMyGovernmentIDs_NationalIDs_NationalIDType1 = comExcelWorksheet.Range("ChangeMyGovernmentIDs_NationalIDs_NationalIDType1").Row</v>
      </c>
      <c r="G63" s="5" t="str">
        <f t="shared" si="6"/>
        <v>strChangeMyGovernmentIDs_NationalIDs_NationalIDType1 = comExcelWorksheet.Cells(intRowChangeMyGovernmentIDs_NationalIDs_NationalIDType1, intColTestColumn).Value</v>
      </c>
      <c r="H63" t="str">
        <f t="shared" ref="H63:H74" si="10">"Public Property Get get" &amp; A63 &amp; "() : get" &amp; A63 &amp; " = str" &amp; A63 &amp; " : End Property"</f>
        <v>Public Property Get getChangeMyGovernmentIDs_NationalIDs_NationalIDType1() : getChangeMyGovernmentIDs_NationalIDs_NationalIDType1 = strChangeMyGovernmentIDs_NationalIDs_NationalIDType1 : End Property</v>
      </c>
    </row>
    <row r="64" spans="1:8" x14ac:dyDescent="0.35">
      <c r="A64" t="str">
        <f>Test_Data!D57</f>
        <v>ChangeMyGovernmentIDs_NationalIDs_AddEditID1</v>
      </c>
      <c r="B64" t="str">
        <f t="shared" si="7"/>
        <v xml:space="preserve">intRowChangeMyGovernmentIDs_NationalIDs_AddEditID1, </v>
      </c>
      <c r="C64" t="e">
        <f t="shared" si="4"/>
        <v>#REF!</v>
      </c>
      <c r="D64" t="str">
        <f t="shared" si="8"/>
        <v xml:space="preserve">strChangeMyGovernmentIDs_NationalIDs_AddEditID1, </v>
      </c>
      <c r="E64" t="e">
        <f t="shared" si="5"/>
        <v>#REF!</v>
      </c>
      <c r="F64" s="5" t="str">
        <f t="shared" si="9"/>
        <v>intRowChangeMyGovernmentIDs_NationalIDs_AddEditID1 = comExcelWorksheet.Range("ChangeMyGovernmentIDs_NationalIDs_AddEditID1").Row</v>
      </c>
      <c r="G64" s="5" t="str">
        <f t="shared" si="6"/>
        <v>strChangeMyGovernmentIDs_NationalIDs_AddEditID1 = comExcelWorksheet.Cells(intRowChangeMyGovernmentIDs_NationalIDs_AddEditID1, intColTestColumn).Value</v>
      </c>
      <c r="H64" t="str">
        <f t="shared" si="10"/>
        <v>Public Property Get getChangeMyGovernmentIDs_NationalIDs_AddEditID1() : getChangeMyGovernmentIDs_NationalIDs_AddEditID1 = strChangeMyGovernmentIDs_NationalIDs_AddEditID1 : End Property</v>
      </c>
    </row>
    <row r="65" spans="1:8" x14ac:dyDescent="0.35">
      <c r="A65" t="e">
        <f>Test_Data!#REF!</f>
        <v>#REF!</v>
      </c>
      <c r="B65" t="e">
        <f t="shared" si="7"/>
        <v>#REF!</v>
      </c>
      <c r="C65" t="e">
        <f t="shared" si="4"/>
        <v>#REF!</v>
      </c>
      <c r="D65" t="e">
        <f t="shared" si="8"/>
        <v>#REF!</v>
      </c>
      <c r="E65" t="e">
        <f t="shared" si="5"/>
        <v>#REF!</v>
      </c>
      <c r="F65" s="5" t="e">
        <f t="shared" si="9"/>
        <v>#REF!</v>
      </c>
      <c r="G65" s="5" t="e">
        <f t="shared" ref="G65:G74" si="11">"str" &amp; A65 &amp; " = comExcelWorksheet.Cells(intRow" &amp; A65 &amp; ", intColTestColumn).Value"</f>
        <v>#REF!</v>
      </c>
      <c r="H65" t="e">
        <f t="shared" si="10"/>
        <v>#REF!</v>
      </c>
    </row>
    <row r="66" spans="1:8" x14ac:dyDescent="0.35">
      <c r="A66" t="e">
        <f>Test_Data!#REF!</f>
        <v>#REF!</v>
      </c>
      <c r="B66" t="e">
        <f t="shared" si="7"/>
        <v>#REF!</v>
      </c>
      <c r="C66" t="e">
        <f t="shared" si="4"/>
        <v>#REF!</v>
      </c>
      <c r="D66" t="e">
        <f t="shared" si="8"/>
        <v>#REF!</v>
      </c>
      <c r="E66" t="e">
        <f t="shared" si="5"/>
        <v>#REF!</v>
      </c>
      <c r="F66" s="5" t="e">
        <f t="shared" si="9"/>
        <v>#REF!</v>
      </c>
      <c r="G66" s="5" t="e">
        <f t="shared" si="11"/>
        <v>#REF!</v>
      </c>
      <c r="H66" t="e">
        <f t="shared" si="10"/>
        <v>#REF!</v>
      </c>
    </row>
    <row r="67" spans="1:8" x14ac:dyDescent="0.35">
      <c r="A67" t="e">
        <f>Test_Data!#REF!</f>
        <v>#REF!</v>
      </c>
      <c r="B67" t="e">
        <f t="shared" si="7"/>
        <v>#REF!</v>
      </c>
      <c r="C67" t="e">
        <f t="shared" si="4"/>
        <v>#REF!</v>
      </c>
      <c r="D67" t="e">
        <f t="shared" si="8"/>
        <v>#REF!</v>
      </c>
      <c r="E67" t="e">
        <f t="shared" si="5"/>
        <v>#REF!</v>
      </c>
      <c r="F67" s="5" t="e">
        <f t="shared" si="9"/>
        <v>#REF!</v>
      </c>
      <c r="G67" s="5" t="e">
        <f t="shared" si="11"/>
        <v>#REF!</v>
      </c>
      <c r="H67" t="e">
        <f t="shared" si="10"/>
        <v>#REF!</v>
      </c>
    </row>
    <row r="68" spans="1:8" x14ac:dyDescent="0.35">
      <c r="A68" t="str">
        <f>Test_Data!D70</f>
        <v>PaymentElectionOption_IBAN</v>
      </c>
      <c r="B68" t="str">
        <f t="shared" si="7"/>
        <v xml:space="preserve">intRowPaymentElectionOption_IBAN, </v>
      </c>
      <c r="C68" t="e">
        <f t="shared" ref="C68:C74" si="12">C67 &amp;B68</f>
        <v>#REF!</v>
      </c>
      <c r="D68" t="str">
        <f t="shared" si="8"/>
        <v xml:space="preserve">strPaymentElectionOption_IBAN, </v>
      </c>
      <c r="E68" t="e">
        <f t="shared" ref="E68:E74" si="13">E67 &amp;D68</f>
        <v>#REF!</v>
      </c>
      <c r="F68" s="5" t="str">
        <f t="shared" si="9"/>
        <v>intRowPaymentElectionOption_IBAN = comExcelWorksheet.Range("PaymentElectionOption_IBAN").Row</v>
      </c>
      <c r="G68" s="5" t="str">
        <f t="shared" si="11"/>
        <v>strPaymentElectionOption_IBAN = comExcelWorksheet.Cells(intRowPaymentElectionOption_IBAN, intColTestColumn).Value</v>
      </c>
      <c r="H68" t="str">
        <f t="shared" si="10"/>
        <v>Public Property Get getPaymentElectionOption_IBAN() : getPaymentElectionOption_IBAN = strPaymentElectionOption_IBAN : End Property</v>
      </c>
    </row>
    <row r="69" spans="1:8" x14ac:dyDescent="0.35">
      <c r="A69" t="str">
        <f>Test_Data!D71</f>
        <v>PaymentElectionOption_AccountType</v>
      </c>
      <c r="B69" t="str">
        <f t="shared" si="7"/>
        <v xml:space="preserve">intRowPaymentElectionOption_AccountType, </v>
      </c>
      <c r="C69" t="e">
        <f t="shared" si="12"/>
        <v>#REF!</v>
      </c>
      <c r="D69" t="str">
        <f t="shared" si="8"/>
        <v xml:space="preserve">strPaymentElectionOption_AccountType, </v>
      </c>
      <c r="E69" t="e">
        <f t="shared" si="13"/>
        <v>#REF!</v>
      </c>
      <c r="F69" s="5" t="str">
        <f t="shared" si="9"/>
        <v>intRowPaymentElectionOption_AccountType = comExcelWorksheet.Range("PaymentElectionOption_AccountType").Row</v>
      </c>
      <c r="G69" s="5" t="str">
        <f t="shared" si="11"/>
        <v>strPaymentElectionOption_AccountType = comExcelWorksheet.Cells(intRowPaymentElectionOption_AccountType, intColTestColumn).Value</v>
      </c>
      <c r="H69" t="str">
        <f t="shared" si="10"/>
        <v>Public Property Get getPaymentElectionOption_AccountType() : getPaymentElectionOption_AccountType = strPaymentElectionOption_AccountType : End Property</v>
      </c>
    </row>
    <row r="70" spans="1:8" x14ac:dyDescent="0.35">
      <c r="A70" t="e">
        <f>Test_Data!#REF!</f>
        <v>#REF!</v>
      </c>
      <c r="B70" t="e">
        <f t="shared" si="7"/>
        <v>#REF!</v>
      </c>
      <c r="C70" t="e">
        <f t="shared" si="12"/>
        <v>#REF!</v>
      </c>
      <c r="D70" t="e">
        <f t="shared" si="8"/>
        <v>#REF!</v>
      </c>
      <c r="E70" t="e">
        <f t="shared" si="13"/>
        <v>#REF!</v>
      </c>
      <c r="F70" s="5" t="e">
        <f t="shared" si="9"/>
        <v>#REF!</v>
      </c>
      <c r="G70" s="5" t="e">
        <f t="shared" si="11"/>
        <v>#REF!</v>
      </c>
      <c r="H70" t="e">
        <f t="shared" si="10"/>
        <v>#REF!</v>
      </c>
    </row>
    <row r="71" spans="1:8" x14ac:dyDescent="0.35">
      <c r="A71" t="e">
        <f>Test_Data!#REF!</f>
        <v>#REF!</v>
      </c>
      <c r="B71" t="e">
        <f t="shared" si="7"/>
        <v>#REF!</v>
      </c>
      <c r="C71" t="e">
        <f t="shared" si="12"/>
        <v>#REF!</v>
      </c>
      <c r="D71" t="e">
        <f t="shared" si="8"/>
        <v>#REF!</v>
      </c>
      <c r="E71" t="e">
        <f t="shared" si="13"/>
        <v>#REF!</v>
      </c>
      <c r="F71" s="5" t="e">
        <f t="shared" si="9"/>
        <v>#REF!</v>
      </c>
      <c r="G71" s="5" t="e">
        <f t="shared" si="11"/>
        <v>#REF!</v>
      </c>
      <c r="H71" t="e">
        <f t="shared" si="10"/>
        <v>#REF!</v>
      </c>
    </row>
    <row r="72" spans="1:8" x14ac:dyDescent="0.35">
      <c r="A72" t="e">
        <f>Test_Data!#REF!</f>
        <v>#REF!</v>
      </c>
      <c r="B72" t="e">
        <f t="shared" si="7"/>
        <v>#REF!</v>
      </c>
      <c r="C72" t="e">
        <f t="shared" si="12"/>
        <v>#REF!</v>
      </c>
      <c r="D72" t="e">
        <f t="shared" si="8"/>
        <v>#REF!</v>
      </c>
      <c r="E72" t="e">
        <f t="shared" si="13"/>
        <v>#REF!</v>
      </c>
      <c r="F72" s="5" t="e">
        <f t="shared" si="9"/>
        <v>#REF!</v>
      </c>
      <c r="G72" s="5" t="e">
        <f t="shared" si="11"/>
        <v>#REF!</v>
      </c>
      <c r="H72" t="e">
        <f t="shared" si="10"/>
        <v>#REF!</v>
      </c>
    </row>
    <row r="73" spans="1:8" x14ac:dyDescent="0.35">
      <c r="A73" t="e">
        <f>Test_Data!#REF!</f>
        <v>#REF!</v>
      </c>
      <c r="B73" t="e">
        <f>"intRow" &amp; A73 &amp; ", "</f>
        <v>#REF!</v>
      </c>
      <c r="C73" t="e">
        <f t="shared" si="12"/>
        <v>#REF!</v>
      </c>
      <c r="D73" t="e">
        <f t="shared" si="8"/>
        <v>#REF!</v>
      </c>
      <c r="E73" t="e">
        <f t="shared" si="13"/>
        <v>#REF!</v>
      </c>
      <c r="F73" s="5" t="e">
        <f t="shared" si="9"/>
        <v>#REF!</v>
      </c>
      <c r="G73" s="5" t="e">
        <f t="shared" si="11"/>
        <v>#REF!</v>
      </c>
      <c r="H73" t="e">
        <f t="shared" si="10"/>
        <v>#REF!</v>
      </c>
    </row>
    <row r="74" spans="1:8" x14ac:dyDescent="0.35">
      <c r="A74" t="e">
        <f>Test_Data!#REF!</f>
        <v>#REF!</v>
      </c>
      <c r="B74" t="e">
        <f>"intRow" &amp; A74 &amp; ", "</f>
        <v>#REF!</v>
      </c>
      <c r="C74" t="e">
        <f t="shared" si="12"/>
        <v>#REF!</v>
      </c>
      <c r="D74" t="e">
        <f t="shared" si="8"/>
        <v>#REF!</v>
      </c>
      <c r="E74" t="e">
        <f t="shared" si="13"/>
        <v>#REF!</v>
      </c>
      <c r="F74" s="5" t="e">
        <f t="shared" si="9"/>
        <v>#REF!</v>
      </c>
      <c r="G74" s="5" t="e">
        <f t="shared" si="11"/>
        <v>#REF!</v>
      </c>
      <c r="H74" t="e">
        <f t="shared" si="10"/>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70" bestFit="1" customWidth="1"/>
    <col min="2" max="2" width="9.1796875" style="170"/>
    <col min="3" max="3" width="15.54296875" style="170" customWidth="1"/>
    <col min="4" max="4" width="23" style="170" customWidth="1"/>
    <col min="5" max="8" width="9.1796875" style="170"/>
    <col min="9" max="9" width="12" style="170" bestFit="1" customWidth="1"/>
    <col min="10" max="10" width="16.1796875" style="170" bestFit="1" customWidth="1"/>
    <col min="11" max="11" width="27.54296875" style="170" customWidth="1"/>
    <col min="12" max="15" width="9.1796875" style="170"/>
    <col min="16" max="16" width="18.453125" style="170" customWidth="1"/>
    <col min="17" max="17" width="28.453125" style="170" bestFit="1" customWidth="1"/>
    <col min="18" max="16384" width="9.1796875" style="170"/>
  </cols>
  <sheetData>
    <row r="3" spans="2:11" ht="17.5" x14ac:dyDescent="0.35">
      <c r="B3" s="170" t="s">
        <v>341</v>
      </c>
      <c r="C3" s="171" t="s">
        <v>342</v>
      </c>
      <c r="D3" s="172" t="s">
        <v>343</v>
      </c>
      <c r="F3" s="170">
        <v>1</v>
      </c>
      <c r="G3" s="172" t="s">
        <v>343</v>
      </c>
      <c r="J3" s="170" t="str">
        <f t="shared" ref="J3:J66" si="0">G3&amp;H3</f>
        <v>one</v>
      </c>
      <c r="K3" s="170" t="s">
        <v>343</v>
      </c>
    </row>
    <row r="4" spans="2:11" ht="17.5" x14ac:dyDescent="0.35">
      <c r="B4" s="170" t="s">
        <v>341</v>
      </c>
      <c r="C4" s="171">
        <v>2</v>
      </c>
      <c r="D4" s="172" t="s">
        <v>344</v>
      </c>
      <c r="F4" s="170">
        <v>2</v>
      </c>
      <c r="G4" s="172" t="s">
        <v>344</v>
      </c>
      <c r="J4" s="170" t="str">
        <f t="shared" si="0"/>
        <v>two</v>
      </c>
      <c r="K4" s="170" t="s">
        <v>344</v>
      </c>
    </row>
    <row r="5" spans="2:11" ht="17.5" x14ac:dyDescent="0.35">
      <c r="B5" s="170" t="s">
        <v>341</v>
      </c>
      <c r="C5" s="171">
        <v>3</v>
      </c>
      <c r="D5" s="172" t="s">
        <v>345</v>
      </c>
      <c r="F5" s="170">
        <v>3</v>
      </c>
      <c r="G5" s="172" t="s">
        <v>345</v>
      </c>
      <c r="J5" s="170" t="str">
        <f t="shared" si="0"/>
        <v>three</v>
      </c>
      <c r="K5" s="170" t="s">
        <v>345</v>
      </c>
    </row>
    <row r="6" spans="2:11" ht="17.5" x14ac:dyDescent="0.35">
      <c r="B6" s="170" t="s">
        <v>341</v>
      </c>
      <c r="C6" s="171">
        <v>4</v>
      </c>
      <c r="D6" s="173" t="s">
        <v>346</v>
      </c>
      <c r="F6" s="170">
        <v>4</v>
      </c>
      <c r="G6" s="173" t="s">
        <v>346</v>
      </c>
      <c r="J6" s="170" t="str">
        <f t="shared" si="0"/>
        <v>four</v>
      </c>
      <c r="K6" s="170" t="s">
        <v>346</v>
      </c>
    </row>
    <row r="7" spans="2:11" ht="17.5" x14ac:dyDescent="0.35">
      <c r="B7" s="170" t="s">
        <v>341</v>
      </c>
      <c r="C7" s="171">
        <v>5</v>
      </c>
      <c r="D7" s="173" t="s">
        <v>347</v>
      </c>
      <c r="F7" s="170">
        <v>5</v>
      </c>
      <c r="G7" s="173" t="s">
        <v>347</v>
      </c>
      <c r="J7" s="170" t="str">
        <f t="shared" si="0"/>
        <v>five</v>
      </c>
      <c r="K7" s="170" t="s">
        <v>347</v>
      </c>
    </row>
    <row r="8" spans="2:11" ht="17.5" x14ac:dyDescent="0.35">
      <c r="B8" s="170" t="s">
        <v>341</v>
      </c>
      <c r="C8" s="171">
        <v>6</v>
      </c>
      <c r="D8" s="173" t="s">
        <v>348</v>
      </c>
      <c r="F8" s="170">
        <v>6</v>
      </c>
      <c r="G8" s="173" t="s">
        <v>348</v>
      </c>
      <c r="J8" s="170" t="str">
        <f t="shared" si="0"/>
        <v>six</v>
      </c>
      <c r="K8" s="170" t="s">
        <v>348</v>
      </c>
    </row>
    <row r="9" spans="2:11" ht="17.5" x14ac:dyDescent="0.35">
      <c r="B9" s="170" t="s">
        <v>341</v>
      </c>
      <c r="C9" s="171">
        <v>7</v>
      </c>
      <c r="D9" s="173" t="s">
        <v>349</v>
      </c>
      <c r="F9" s="170">
        <v>7</v>
      </c>
      <c r="G9" s="173" t="s">
        <v>349</v>
      </c>
      <c r="J9" s="170" t="str">
        <f t="shared" si="0"/>
        <v>seven</v>
      </c>
      <c r="K9" s="170" t="s">
        <v>349</v>
      </c>
    </row>
    <row r="10" spans="2:11" ht="17.5" x14ac:dyDescent="0.35">
      <c r="B10" s="170" t="s">
        <v>341</v>
      </c>
      <c r="C10" s="171">
        <v>8</v>
      </c>
      <c r="D10" s="173" t="s">
        <v>350</v>
      </c>
      <c r="F10" s="170">
        <v>8</v>
      </c>
      <c r="G10" s="173" t="s">
        <v>350</v>
      </c>
      <c r="J10" s="170" t="str">
        <f t="shared" si="0"/>
        <v>eight</v>
      </c>
      <c r="K10" s="170" t="s">
        <v>350</v>
      </c>
    </row>
    <row r="11" spans="2:11" ht="17.5" x14ac:dyDescent="0.35">
      <c r="B11" s="170" t="s">
        <v>341</v>
      </c>
      <c r="C11" s="171">
        <v>9</v>
      </c>
      <c r="D11" s="173" t="s">
        <v>351</v>
      </c>
      <c r="F11" s="170">
        <v>9</v>
      </c>
      <c r="G11" s="173" t="s">
        <v>351</v>
      </c>
      <c r="J11" s="170" t="str">
        <f t="shared" si="0"/>
        <v>nine</v>
      </c>
      <c r="K11" s="170" t="s">
        <v>351</v>
      </c>
    </row>
    <row r="12" spans="2:11" ht="17.5" x14ac:dyDescent="0.35">
      <c r="B12" s="170" t="s">
        <v>341</v>
      </c>
      <c r="C12" s="171">
        <v>10</v>
      </c>
      <c r="D12" s="172" t="s">
        <v>352</v>
      </c>
      <c r="F12" s="170">
        <v>10</v>
      </c>
      <c r="G12" s="172" t="s">
        <v>352</v>
      </c>
      <c r="J12" s="170" t="str">
        <f t="shared" si="0"/>
        <v>ten</v>
      </c>
      <c r="K12" s="170" t="s">
        <v>352</v>
      </c>
    </row>
    <row r="13" spans="2:11" ht="17.5" x14ac:dyDescent="0.35">
      <c r="B13" s="170" t="s">
        <v>341</v>
      </c>
      <c r="C13" s="171">
        <v>11</v>
      </c>
      <c r="D13" s="172" t="s">
        <v>353</v>
      </c>
      <c r="F13" s="170">
        <v>11</v>
      </c>
      <c r="G13" s="172" t="s">
        <v>353</v>
      </c>
      <c r="J13" s="170" t="str">
        <f t="shared" si="0"/>
        <v>eleven</v>
      </c>
      <c r="K13" s="170" t="s">
        <v>353</v>
      </c>
    </row>
    <row r="14" spans="2:11" ht="17.5" x14ac:dyDescent="0.35">
      <c r="B14" s="170" t="s">
        <v>341</v>
      </c>
      <c r="C14" s="171">
        <v>12</v>
      </c>
      <c r="D14" s="172" t="s">
        <v>354</v>
      </c>
      <c r="F14" s="170">
        <v>12</v>
      </c>
      <c r="G14" s="172" t="s">
        <v>354</v>
      </c>
      <c r="J14" s="170" t="str">
        <f t="shared" si="0"/>
        <v>twelve</v>
      </c>
      <c r="K14" s="170" t="s">
        <v>354</v>
      </c>
    </row>
    <row r="15" spans="2:11" ht="35" x14ac:dyDescent="0.35">
      <c r="B15" s="170" t="s">
        <v>341</v>
      </c>
      <c r="C15" s="171">
        <v>13</v>
      </c>
      <c r="D15" s="172" t="s">
        <v>355</v>
      </c>
      <c r="F15" s="170">
        <v>13</v>
      </c>
      <c r="G15" s="172" t="s">
        <v>355</v>
      </c>
      <c r="J15" s="170" t="str">
        <f t="shared" si="0"/>
        <v>thirteen</v>
      </c>
      <c r="K15" s="170" t="s">
        <v>355</v>
      </c>
    </row>
    <row r="16" spans="2:11" ht="35" x14ac:dyDescent="0.35">
      <c r="B16" s="170" t="s">
        <v>341</v>
      </c>
      <c r="C16" s="171">
        <v>14</v>
      </c>
      <c r="D16" s="172" t="s">
        <v>356</v>
      </c>
      <c r="F16" s="170">
        <v>14</v>
      </c>
      <c r="G16" s="172" t="s">
        <v>356</v>
      </c>
      <c r="J16" s="170" t="str">
        <f t="shared" si="0"/>
        <v>fourteen</v>
      </c>
      <c r="K16" s="170" t="s">
        <v>356</v>
      </c>
    </row>
    <row r="17" spans="2:11" ht="17.5" x14ac:dyDescent="0.35">
      <c r="B17" s="170" t="s">
        <v>341</v>
      </c>
      <c r="C17" s="171">
        <v>15</v>
      </c>
      <c r="D17" s="172" t="s">
        <v>357</v>
      </c>
      <c r="F17" s="170">
        <v>15</v>
      </c>
      <c r="G17" s="172" t="s">
        <v>357</v>
      </c>
      <c r="J17" s="170" t="str">
        <f t="shared" si="0"/>
        <v>fifteen</v>
      </c>
      <c r="K17" s="170" t="s">
        <v>357</v>
      </c>
    </row>
    <row r="18" spans="2:11" ht="17.5" x14ac:dyDescent="0.35">
      <c r="B18" s="170" t="s">
        <v>341</v>
      </c>
      <c r="C18" s="171">
        <v>16</v>
      </c>
      <c r="D18" s="172" t="s">
        <v>358</v>
      </c>
      <c r="F18" s="170">
        <v>16</v>
      </c>
      <c r="G18" s="172" t="s">
        <v>358</v>
      </c>
      <c r="J18" s="170" t="str">
        <f t="shared" si="0"/>
        <v>sixteen</v>
      </c>
      <c r="K18" s="170" t="s">
        <v>358</v>
      </c>
    </row>
    <row r="19" spans="2:11" ht="35" x14ac:dyDescent="0.35">
      <c r="B19" s="170" t="s">
        <v>341</v>
      </c>
      <c r="C19" s="171">
        <v>17</v>
      </c>
      <c r="D19" s="172" t="s">
        <v>359</v>
      </c>
      <c r="F19" s="170">
        <v>17</v>
      </c>
      <c r="G19" s="172" t="s">
        <v>359</v>
      </c>
      <c r="J19" s="170" t="str">
        <f t="shared" si="0"/>
        <v>seventeen</v>
      </c>
      <c r="K19" s="170" t="s">
        <v>359</v>
      </c>
    </row>
    <row r="20" spans="2:11" ht="35" x14ac:dyDescent="0.35">
      <c r="B20" s="170" t="s">
        <v>341</v>
      </c>
      <c r="C20" s="171">
        <v>18</v>
      </c>
      <c r="D20" s="172" t="s">
        <v>360</v>
      </c>
      <c r="F20" s="170">
        <v>18</v>
      </c>
      <c r="G20" s="172" t="s">
        <v>360</v>
      </c>
      <c r="J20" s="170" t="str">
        <f t="shared" si="0"/>
        <v>eighteen</v>
      </c>
      <c r="K20" s="170" t="s">
        <v>360</v>
      </c>
    </row>
    <row r="21" spans="2:11" ht="35" x14ac:dyDescent="0.35">
      <c r="B21" s="170" t="s">
        <v>341</v>
      </c>
      <c r="C21" s="171">
        <v>19</v>
      </c>
      <c r="D21" s="172" t="s">
        <v>361</v>
      </c>
      <c r="F21" s="170">
        <v>19</v>
      </c>
      <c r="G21" s="172" t="s">
        <v>361</v>
      </c>
      <c r="J21" s="170" t="str">
        <f t="shared" si="0"/>
        <v>nineteen</v>
      </c>
      <c r="K21" s="170" t="s">
        <v>361</v>
      </c>
    </row>
    <row r="22" spans="2:11" ht="17.5" x14ac:dyDescent="0.35">
      <c r="B22" s="170" t="s">
        <v>341</v>
      </c>
      <c r="C22" s="171">
        <v>20</v>
      </c>
      <c r="D22" s="172" t="s">
        <v>362</v>
      </c>
      <c r="F22" s="170">
        <v>20</v>
      </c>
      <c r="G22" s="172" t="s">
        <v>362</v>
      </c>
      <c r="J22" s="170" t="str">
        <f t="shared" si="0"/>
        <v>twenty</v>
      </c>
      <c r="K22" s="170" t="s">
        <v>362</v>
      </c>
    </row>
    <row r="23" spans="2:11" ht="17.5" x14ac:dyDescent="0.35">
      <c r="B23" s="170" t="s">
        <v>341</v>
      </c>
      <c r="C23" s="171">
        <v>30</v>
      </c>
      <c r="D23" s="172" t="s">
        <v>363</v>
      </c>
      <c r="F23" s="170">
        <v>21</v>
      </c>
      <c r="G23" s="172" t="s">
        <v>362</v>
      </c>
      <c r="H23" s="172" t="s">
        <v>343</v>
      </c>
      <c r="I23" s="174"/>
      <c r="J23" s="170" t="str">
        <f t="shared" si="0"/>
        <v>twentyone</v>
      </c>
      <c r="K23" s="170" t="s">
        <v>475</v>
      </c>
    </row>
    <row r="24" spans="2:11" ht="17.5" x14ac:dyDescent="0.35">
      <c r="B24" s="170" t="s">
        <v>341</v>
      </c>
      <c r="C24" s="171">
        <v>40</v>
      </c>
      <c r="D24" s="172" t="s">
        <v>364</v>
      </c>
      <c r="F24" s="170">
        <v>22</v>
      </c>
      <c r="G24" s="172" t="s">
        <v>362</v>
      </c>
      <c r="H24" s="172" t="s">
        <v>344</v>
      </c>
      <c r="I24" s="174"/>
      <c r="J24" s="170" t="str">
        <f t="shared" si="0"/>
        <v>twentytwo</v>
      </c>
      <c r="K24" s="170" t="s">
        <v>476</v>
      </c>
    </row>
    <row r="25" spans="2:11" ht="17.5" x14ac:dyDescent="0.35">
      <c r="B25" s="170" t="s">
        <v>341</v>
      </c>
      <c r="C25" s="171">
        <v>50</v>
      </c>
      <c r="D25" s="172" t="s">
        <v>365</v>
      </c>
      <c r="F25" s="170">
        <v>23</v>
      </c>
      <c r="G25" s="172" t="s">
        <v>362</v>
      </c>
      <c r="H25" s="172" t="s">
        <v>345</v>
      </c>
      <c r="I25" s="174"/>
      <c r="J25" s="170" t="str">
        <f t="shared" si="0"/>
        <v>twentythree</v>
      </c>
      <c r="K25" s="170" t="s">
        <v>477</v>
      </c>
    </row>
    <row r="26" spans="2:11" ht="17.5" x14ac:dyDescent="0.35">
      <c r="B26" s="170" t="s">
        <v>341</v>
      </c>
      <c r="C26" s="171">
        <v>60</v>
      </c>
      <c r="D26" s="172" t="s">
        <v>366</v>
      </c>
      <c r="F26" s="170">
        <v>24</v>
      </c>
      <c r="G26" s="172" t="s">
        <v>362</v>
      </c>
      <c r="H26" s="173" t="s">
        <v>346</v>
      </c>
      <c r="I26" s="175"/>
      <c r="J26" s="170" t="str">
        <f t="shared" si="0"/>
        <v>twentyfour</v>
      </c>
      <c r="K26" s="170" t="s">
        <v>478</v>
      </c>
    </row>
    <row r="27" spans="2:11" ht="17.5" x14ac:dyDescent="0.35">
      <c r="B27" s="170" t="s">
        <v>341</v>
      </c>
      <c r="C27" s="171">
        <v>70</v>
      </c>
      <c r="D27" s="172" t="s">
        <v>367</v>
      </c>
      <c r="F27" s="170">
        <v>25</v>
      </c>
      <c r="G27" s="172" t="s">
        <v>362</v>
      </c>
      <c r="H27" s="173" t="s">
        <v>347</v>
      </c>
      <c r="I27" s="175"/>
      <c r="J27" s="170" t="str">
        <f t="shared" si="0"/>
        <v>twentyfive</v>
      </c>
      <c r="K27" s="170" t="s">
        <v>479</v>
      </c>
    </row>
    <row r="28" spans="2:11" ht="17.5" x14ac:dyDescent="0.35">
      <c r="B28" s="170" t="s">
        <v>341</v>
      </c>
      <c r="C28" s="171">
        <v>80</v>
      </c>
      <c r="D28" s="172" t="s">
        <v>368</v>
      </c>
      <c r="F28" s="170">
        <v>26</v>
      </c>
      <c r="G28" s="172" t="s">
        <v>362</v>
      </c>
      <c r="H28" s="173" t="s">
        <v>348</v>
      </c>
      <c r="I28" s="175"/>
      <c r="J28" s="170" t="str">
        <f t="shared" si="0"/>
        <v>twentysix</v>
      </c>
      <c r="K28" s="170" t="s">
        <v>480</v>
      </c>
    </row>
    <row r="29" spans="2:11" ht="17.5" x14ac:dyDescent="0.35">
      <c r="B29" s="170" t="s">
        <v>341</v>
      </c>
      <c r="C29" s="171">
        <v>90</v>
      </c>
      <c r="D29" s="172" t="s">
        <v>369</v>
      </c>
      <c r="F29" s="170">
        <v>27</v>
      </c>
      <c r="G29" s="172" t="s">
        <v>362</v>
      </c>
      <c r="H29" s="173" t="s">
        <v>349</v>
      </c>
      <c r="I29" s="175"/>
      <c r="J29" s="170" t="str">
        <f t="shared" si="0"/>
        <v>twentyseven</v>
      </c>
      <c r="K29" s="170" t="s">
        <v>481</v>
      </c>
    </row>
    <row r="30" spans="2:11" ht="17.5" x14ac:dyDescent="0.35">
      <c r="B30" s="170" t="s">
        <v>341</v>
      </c>
      <c r="C30" s="171">
        <v>100</v>
      </c>
      <c r="D30" s="172" t="s">
        <v>370</v>
      </c>
      <c r="F30" s="170">
        <v>28</v>
      </c>
      <c r="G30" s="172" t="s">
        <v>362</v>
      </c>
      <c r="H30" s="173" t="s">
        <v>350</v>
      </c>
      <c r="I30" s="175"/>
      <c r="J30" s="170" t="str">
        <f t="shared" si="0"/>
        <v>twentyeight</v>
      </c>
      <c r="K30" s="170" t="s">
        <v>482</v>
      </c>
    </row>
    <row r="31" spans="2:11" ht="17.5" x14ac:dyDescent="0.35">
      <c r="B31" s="170" t="s">
        <v>341</v>
      </c>
      <c r="C31" s="171">
        <v>1000</v>
      </c>
      <c r="D31" s="172" t="s">
        <v>371</v>
      </c>
      <c r="F31" s="170">
        <v>29</v>
      </c>
      <c r="G31" s="172" t="s">
        <v>362</v>
      </c>
      <c r="H31" s="173" t="s">
        <v>351</v>
      </c>
      <c r="I31" s="175"/>
      <c r="J31" s="170" t="str">
        <f t="shared" si="0"/>
        <v>twentynine</v>
      </c>
      <c r="K31" s="170" t="s">
        <v>483</v>
      </c>
    </row>
    <row r="32" spans="2:11" ht="17.5" x14ac:dyDescent="0.35">
      <c r="B32" s="170" t="s">
        <v>341</v>
      </c>
      <c r="F32" s="170">
        <v>30</v>
      </c>
      <c r="G32" s="172" t="s">
        <v>363</v>
      </c>
      <c r="J32" s="170" t="str">
        <f t="shared" si="0"/>
        <v>thirty</v>
      </c>
      <c r="K32" s="170" t="s">
        <v>363</v>
      </c>
    </row>
    <row r="33" spans="2:11" ht="17.5" x14ac:dyDescent="0.35">
      <c r="B33" s="170" t="s">
        <v>341</v>
      </c>
      <c r="F33" s="170">
        <v>31</v>
      </c>
      <c r="G33" s="172" t="s">
        <v>363</v>
      </c>
      <c r="H33" s="172" t="s">
        <v>343</v>
      </c>
      <c r="I33" s="174"/>
      <c r="J33" s="170" t="str">
        <f t="shared" si="0"/>
        <v>thirtyone</v>
      </c>
      <c r="K33" s="170" t="s">
        <v>484</v>
      </c>
    </row>
    <row r="34" spans="2:11" ht="17.5" x14ac:dyDescent="0.35">
      <c r="B34" s="170" t="s">
        <v>341</v>
      </c>
      <c r="F34" s="170">
        <v>32</v>
      </c>
      <c r="G34" s="172" t="s">
        <v>363</v>
      </c>
      <c r="H34" s="172" t="s">
        <v>344</v>
      </c>
      <c r="I34" s="174"/>
      <c r="J34" s="170" t="str">
        <f t="shared" si="0"/>
        <v>thirtytwo</v>
      </c>
      <c r="K34" s="170" t="s">
        <v>485</v>
      </c>
    </row>
    <row r="35" spans="2:11" ht="17.5" x14ac:dyDescent="0.35">
      <c r="B35" s="170" t="s">
        <v>341</v>
      </c>
      <c r="F35" s="170">
        <v>33</v>
      </c>
      <c r="G35" s="172" t="s">
        <v>363</v>
      </c>
      <c r="H35" s="172" t="s">
        <v>345</v>
      </c>
      <c r="I35" s="174"/>
      <c r="J35" s="170" t="str">
        <f t="shared" si="0"/>
        <v>thirtythree</v>
      </c>
      <c r="K35" s="170" t="s">
        <v>486</v>
      </c>
    </row>
    <row r="36" spans="2:11" ht="17.5" x14ac:dyDescent="0.35">
      <c r="B36" s="170" t="s">
        <v>341</v>
      </c>
      <c r="F36" s="170">
        <v>34</v>
      </c>
      <c r="G36" s="172" t="s">
        <v>363</v>
      </c>
      <c r="H36" s="173" t="s">
        <v>346</v>
      </c>
      <c r="I36" s="175"/>
      <c r="J36" s="170" t="str">
        <f t="shared" si="0"/>
        <v>thirtyfour</v>
      </c>
      <c r="K36" s="170" t="s">
        <v>487</v>
      </c>
    </row>
    <row r="37" spans="2:11" ht="17.5" x14ac:dyDescent="0.35">
      <c r="B37" s="170" t="s">
        <v>341</v>
      </c>
      <c r="F37" s="170">
        <v>35</v>
      </c>
      <c r="G37" s="172" t="s">
        <v>363</v>
      </c>
      <c r="H37" s="173" t="s">
        <v>347</v>
      </c>
      <c r="I37" s="175"/>
      <c r="J37" s="170" t="str">
        <f t="shared" si="0"/>
        <v>thirtyfive</v>
      </c>
      <c r="K37" s="170" t="s">
        <v>488</v>
      </c>
    </row>
    <row r="38" spans="2:11" ht="17.5" x14ac:dyDescent="0.35">
      <c r="B38" s="170" t="s">
        <v>341</v>
      </c>
      <c r="F38" s="170">
        <v>36</v>
      </c>
      <c r="G38" s="172" t="s">
        <v>363</v>
      </c>
      <c r="H38" s="173" t="s">
        <v>348</v>
      </c>
      <c r="I38" s="175"/>
      <c r="J38" s="170" t="str">
        <f t="shared" si="0"/>
        <v>thirtysix</v>
      </c>
      <c r="K38" s="170" t="s">
        <v>489</v>
      </c>
    </row>
    <row r="39" spans="2:11" ht="17.5" x14ac:dyDescent="0.35">
      <c r="B39" s="170" t="s">
        <v>341</v>
      </c>
      <c r="F39" s="170">
        <v>37</v>
      </c>
      <c r="G39" s="172" t="s">
        <v>363</v>
      </c>
      <c r="H39" s="173" t="s">
        <v>349</v>
      </c>
      <c r="I39" s="175"/>
      <c r="J39" s="170" t="str">
        <f t="shared" si="0"/>
        <v>thirtyseven</v>
      </c>
      <c r="K39" s="170" t="s">
        <v>490</v>
      </c>
    </row>
    <row r="40" spans="2:11" ht="17.5" x14ac:dyDescent="0.35">
      <c r="B40" s="170" t="s">
        <v>341</v>
      </c>
      <c r="F40" s="170">
        <v>38</v>
      </c>
      <c r="G40" s="172" t="s">
        <v>363</v>
      </c>
      <c r="H40" s="173" t="s">
        <v>350</v>
      </c>
      <c r="I40" s="175"/>
      <c r="J40" s="170" t="str">
        <f t="shared" si="0"/>
        <v>thirtyeight</v>
      </c>
      <c r="K40" s="170" t="s">
        <v>491</v>
      </c>
    </row>
    <row r="41" spans="2:11" ht="17.5" x14ac:dyDescent="0.35">
      <c r="B41" s="170" t="s">
        <v>341</v>
      </c>
      <c r="F41" s="170">
        <v>39</v>
      </c>
      <c r="G41" s="172" t="s">
        <v>363</v>
      </c>
      <c r="H41" s="173" t="s">
        <v>351</v>
      </c>
      <c r="I41" s="175"/>
      <c r="J41" s="170" t="str">
        <f t="shared" si="0"/>
        <v>thirtynine</v>
      </c>
      <c r="K41" s="170" t="s">
        <v>492</v>
      </c>
    </row>
    <row r="42" spans="2:11" ht="17.5" x14ac:dyDescent="0.35">
      <c r="B42" s="170" t="s">
        <v>341</v>
      </c>
      <c r="F42" s="170">
        <v>40</v>
      </c>
      <c r="G42" s="172" t="s">
        <v>364</v>
      </c>
      <c r="J42" s="170" t="str">
        <f t="shared" si="0"/>
        <v>forty</v>
      </c>
      <c r="K42" s="170" t="s">
        <v>364</v>
      </c>
    </row>
    <row r="43" spans="2:11" ht="17.5" x14ac:dyDescent="0.35">
      <c r="B43" s="170" t="s">
        <v>341</v>
      </c>
      <c r="F43" s="170">
        <v>41</v>
      </c>
      <c r="G43" s="172" t="s">
        <v>364</v>
      </c>
      <c r="H43" s="172" t="s">
        <v>343</v>
      </c>
      <c r="I43" s="174"/>
      <c r="J43" s="170" t="str">
        <f t="shared" si="0"/>
        <v>fortyone</v>
      </c>
      <c r="K43" s="170" t="s">
        <v>493</v>
      </c>
    </row>
    <row r="44" spans="2:11" ht="17.5" x14ac:dyDescent="0.35">
      <c r="B44" s="170" t="s">
        <v>341</v>
      </c>
      <c r="F44" s="170">
        <v>42</v>
      </c>
      <c r="G44" s="172" t="s">
        <v>364</v>
      </c>
      <c r="H44" s="172" t="s">
        <v>344</v>
      </c>
      <c r="I44" s="174"/>
      <c r="J44" s="170" t="str">
        <f t="shared" si="0"/>
        <v>fortytwo</v>
      </c>
      <c r="K44" s="170" t="s">
        <v>494</v>
      </c>
    </row>
    <row r="45" spans="2:11" ht="17.5" x14ac:dyDescent="0.35">
      <c r="B45" s="170" t="s">
        <v>341</v>
      </c>
      <c r="F45" s="170">
        <v>43</v>
      </c>
      <c r="G45" s="172" t="s">
        <v>364</v>
      </c>
      <c r="H45" s="172" t="s">
        <v>345</v>
      </c>
      <c r="I45" s="174"/>
      <c r="J45" s="170" t="str">
        <f t="shared" si="0"/>
        <v>fortythree</v>
      </c>
      <c r="K45" s="170" t="s">
        <v>495</v>
      </c>
    </row>
    <row r="46" spans="2:11" ht="17.5" x14ac:dyDescent="0.35">
      <c r="B46" s="170" t="s">
        <v>341</v>
      </c>
      <c r="F46" s="170">
        <v>44</v>
      </c>
      <c r="G46" s="172" t="s">
        <v>364</v>
      </c>
      <c r="H46" s="173" t="s">
        <v>346</v>
      </c>
      <c r="I46" s="175"/>
      <c r="J46" s="170" t="str">
        <f t="shared" si="0"/>
        <v>fortyfour</v>
      </c>
      <c r="K46" s="170" t="s">
        <v>496</v>
      </c>
    </row>
    <row r="47" spans="2:11" ht="17.5" x14ac:dyDescent="0.35">
      <c r="B47" s="170" t="s">
        <v>341</v>
      </c>
      <c r="F47" s="170">
        <v>45</v>
      </c>
      <c r="G47" s="172" t="s">
        <v>364</v>
      </c>
      <c r="H47" s="173" t="s">
        <v>347</v>
      </c>
      <c r="I47" s="175"/>
      <c r="J47" s="170" t="str">
        <f t="shared" si="0"/>
        <v>fortyfive</v>
      </c>
      <c r="K47" s="170" t="s">
        <v>497</v>
      </c>
    </row>
    <row r="48" spans="2:11" ht="17.5" x14ac:dyDescent="0.35">
      <c r="B48" s="170" t="s">
        <v>341</v>
      </c>
      <c r="F48" s="170">
        <v>46</v>
      </c>
      <c r="G48" s="172" t="s">
        <v>364</v>
      </c>
      <c r="H48" s="173" t="s">
        <v>348</v>
      </c>
      <c r="I48" s="175"/>
      <c r="J48" s="170" t="str">
        <f t="shared" si="0"/>
        <v>fortysix</v>
      </c>
      <c r="K48" s="170" t="s">
        <v>498</v>
      </c>
    </row>
    <row r="49" spans="2:112" ht="17.5" x14ac:dyDescent="0.35">
      <c r="B49" s="170" t="s">
        <v>341</v>
      </c>
      <c r="F49" s="170">
        <v>47</v>
      </c>
      <c r="G49" s="172" t="s">
        <v>364</v>
      </c>
      <c r="H49" s="173" t="s">
        <v>349</v>
      </c>
      <c r="I49" s="175"/>
      <c r="J49" s="170" t="str">
        <f t="shared" si="0"/>
        <v>fortyseven</v>
      </c>
      <c r="K49" s="170" t="s">
        <v>499</v>
      </c>
    </row>
    <row r="50" spans="2:112" ht="17.5" x14ac:dyDescent="0.35">
      <c r="B50" s="170" t="s">
        <v>341</v>
      </c>
      <c r="F50" s="170">
        <v>48</v>
      </c>
      <c r="G50" s="172" t="s">
        <v>364</v>
      </c>
      <c r="H50" s="173" t="s">
        <v>350</v>
      </c>
      <c r="I50" s="175"/>
      <c r="J50" s="170" t="str">
        <f t="shared" si="0"/>
        <v>fortyeight</v>
      </c>
      <c r="K50" s="170" t="s">
        <v>500</v>
      </c>
    </row>
    <row r="51" spans="2:112" ht="17.5" x14ac:dyDescent="0.35">
      <c r="B51" s="170" t="s">
        <v>341</v>
      </c>
      <c r="F51" s="170">
        <v>49</v>
      </c>
      <c r="G51" s="172" t="s">
        <v>364</v>
      </c>
      <c r="H51" s="173" t="s">
        <v>351</v>
      </c>
      <c r="I51" s="175"/>
      <c r="J51" s="170" t="str">
        <f t="shared" si="0"/>
        <v>fortynine</v>
      </c>
      <c r="K51" s="170" t="s">
        <v>501</v>
      </c>
    </row>
    <row r="52" spans="2:112" ht="17.5" x14ac:dyDescent="0.35">
      <c r="B52" s="170" t="s">
        <v>341</v>
      </c>
      <c r="F52" s="170">
        <v>50</v>
      </c>
      <c r="G52" s="172" t="s">
        <v>365</v>
      </c>
      <c r="J52" s="170" t="str">
        <f t="shared" si="0"/>
        <v>fifty</v>
      </c>
      <c r="K52" s="170" t="s">
        <v>365</v>
      </c>
    </row>
    <row r="53" spans="2:112" ht="17.5" x14ac:dyDescent="0.35">
      <c r="B53" s="170" t="s">
        <v>341</v>
      </c>
      <c r="F53" s="170">
        <v>51</v>
      </c>
      <c r="G53" s="172" t="s">
        <v>365</v>
      </c>
      <c r="H53" s="172" t="s">
        <v>343</v>
      </c>
      <c r="I53" s="174"/>
      <c r="J53" s="170" t="str">
        <f t="shared" si="0"/>
        <v>fiftyone</v>
      </c>
      <c r="K53" s="170" t="s">
        <v>502</v>
      </c>
    </row>
    <row r="54" spans="2:112" ht="17.5" x14ac:dyDescent="0.35">
      <c r="B54" s="170" t="s">
        <v>341</v>
      </c>
      <c r="F54" s="170">
        <v>52</v>
      </c>
      <c r="G54" s="172" t="s">
        <v>365</v>
      </c>
      <c r="H54" s="172" t="s">
        <v>344</v>
      </c>
      <c r="I54" s="174"/>
      <c r="J54" s="170" t="str">
        <f t="shared" si="0"/>
        <v>fiftytwo</v>
      </c>
      <c r="K54" s="170" t="s">
        <v>503</v>
      </c>
    </row>
    <row r="55" spans="2:112" ht="17.5" x14ac:dyDescent="0.35">
      <c r="B55" s="170" t="s">
        <v>372</v>
      </c>
      <c r="F55" s="170">
        <v>53</v>
      </c>
      <c r="G55" s="172" t="s">
        <v>365</v>
      </c>
      <c r="H55" s="172" t="s">
        <v>345</v>
      </c>
      <c r="I55" s="174"/>
      <c r="J55" s="170" t="str">
        <f t="shared" si="0"/>
        <v>fiftythree</v>
      </c>
      <c r="K55" s="170" t="s">
        <v>504</v>
      </c>
      <c r="U55" s="170" t="s">
        <v>373</v>
      </c>
      <c r="V55" s="170" t="s">
        <v>374</v>
      </c>
      <c r="W55" s="170" t="s">
        <v>375</v>
      </c>
      <c r="X55" s="170" t="s">
        <v>376</v>
      </c>
      <c r="Y55" s="170" t="s">
        <v>377</v>
      </c>
      <c r="Z55" s="170" t="s">
        <v>378</v>
      </c>
      <c r="AA55" s="170" t="s">
        <v>379</v>
      </c>
      <c r="AB55" s="170" t="s">
        <v>380</v>
      </c>
      <c r="AC55" s="170" t="s">
        <v>381</v>
      </c>
      <c r="AD55" s="170" t="s">
        <v>382</v>
      </c>
      <c r="AE55" s="170" t="s">
        <v>383</v>
      </c>
      <c r="AF55" s="170" t="s">
        <v>384</v>
      </c>
      <c r="AG55" s="170" t="s">
        <v>385</v>
      </c>
      <c r="AH55" s="170" t="s">
        <v>386</v>
      </c>
      <c r="AI55" s="170" t="s">
        <v>387</v>
      </c>
      <c r="AJ55" s="170" t="s">
        <v>388</v>
      </c>
      <c r="AK55" s="170" t="s">
        <v>389</v>
      </c>
      <c r="AL55" s="170" t="s">
        <v>390</v>
      </c>
      <c r="AM55" s="170" t="s">
        <v>391</v>
      </c>
      <c r="AN55" s="170" t="s">
        <v>392</v>
      </c>
      <c r="AO55" s="170" t="s">
        <v>393</v>
      </c>
      <c r="AP55" s="170" t="s">
        <v>394</v>
      </c>
      <c r="AQ55" s="170" t="s">
        <v>395</v>
      </c>
      <c r="AR55" s="170" t="s">
        <v>396</v>
      </c>
      <c r="AS55" s="170" t="s">
        <v>397</v>
      </c>
      <c r="AT55" s="170" t="s">
        <v>398</v>
      </c>
      <c r="AU55" s="170" t="s">
        <v>399</v>
      </c>
      <c r="AV55" s="170" t="s">
        <v>400</v>
      </c>
      <c r="AW55" s="170" t="s">
        <v>401</v>
      </c>
      <c r="AX55" s="170" t="s">
        <v>402</v>
      </c>
      <c r="AY55" s="170" t="s">
        <v>403</v>
      </c>
      <c r="AZ55" s="170" t="s">
        <v>404</v>
      </c>
      <c r="BA55" s="170" t="s">
        <v>405</v>
      </c>
      <c r="BB55" s="170" t="s">
        <v>406</v>
      </c>
      <c r="BC55" s="170" t="s">
        <v>407</v>
      </c>
      <c r="BD55" s="170" t="s">
        <v>408</v>
      </c>
      <c r="BE55" s="170" t="s">
        <v>409</v>
      </c>
      <c r="BF55" s="170" t="s">
        <v>410</v>
      </c>
      <c r="BG55" s="170" t="s">
        <v>411</v>
      </c>
      <c r="BH55" s="170" t="s">
        <v>412</v>
      </c>
      <c r="BI55" s="170" t="s">
        <v>413</v>
      </c>
      <c r="BJ55" s="170" t="s">
        <v>414</v>
      </c>
      <c r="BK55" s="170" t="s">
        <v>415</v>
      </c>
      <c r="BL55" s="170" t="s">
        <v>416</v>
      </c>
      <c r="BM55" s="170" t="s">
        <v>417</v>
      </c>
      <c r="BN55" s="170" t="s">
        <v>418</v>
      </c>
      <c r="BO55" s="170" t="s">
        <v>419</v>
      </c>
      <c r="BP55" s="170" t="s">
        <v>420</v>
      </c>
      <c r="BQ55" s="170" t="s">
        <v>421</v>
      </c>
      <c r="BR55" s="170" t="s">
        <v>422</v>
      </c>
      <c r="BS55" s="170" t="s">
        <v>423</v>
      </c>
      <c r="BT55" s="170" t="s">
        <v>424</v>
      </c>
      <c r="BU55" s="170" t="s">
        <v>425</v>
      </c>
      <c r="BV55" s="170" t="s">
        <v>426</v>
      </c>
      <c r="BW55" s="170" t="s">
        <v>427</v>
      </c>
      <c r="BX55" s="170" t="s">
        <v>428</v>
      </c>
      <c r="BY55" s="170" t="s">
        <v>429</v>
      </c>
      <c r="BZ55" s="170" t="s">
        <v>430</v>
      </c>
      <c r="CA55" s="170" t="s">
        <v>431</v>
      </c>
      <c r="CB55" s="170" t="s">
        <v>432</v>
      </c>
      <c r="CC55" s="170" t="s">
        <v>433</v>
      </c>
      <c r="CD55" s="170" t="s">
        <v>434</v>
      </c>
      <c r="CE55" s="170" t="s">
        <v>435</v>
      </c>
      <c r="CF55" s="170" t="s">
        <v>436</v>
      </c>
      <c r="CG55" s="170" t="s">
        <v>437</v>
      </c>
      <c r="CH55" s="170" t="s">
        <v>438</v>
      </c>
      <c r="CI55" s="170" t="s">
        <v>439</v>
      </c>
      <c r="CJ55" s="170" t="s">
        <v>440</v>
      </c>
      <c r="CK55" s="170" t="s">
        <v>441</v>
      </c>
      <c r="CL55" s="170" t="s">
        <v>442</v>
      </c>
      <c r="CM55" s="170" t="s">
        <v>443</v>
      </c>
      <c r="CN55" s="170" t="s">
        <v>444</v>
      </c>
      <c r="CO55" s="170" t="s">
        <v>445</v>
      </c>
      <c r="CP55" s="170" t="s">
        <v>446</v>
      </c>
      <c r="CQ55" s="170" t="s">
        <v>447</v>
      </c>
      <c r="CR55" s="170" t="s">
        <v>448</v>
      </c>
      <c r="CS55" s="170" t="s">
        <v>449</v>
      </c>
      <c r="CT55" s="170" t="s">
        <v>450</v>
      </c>
      <c r="CU55" s="170" t="s">
        <v>451</v>
      </c>
      <c r="CV55" s="170" t="s">
        <v>452</v>
      </c>
      <c r="CW55" s="170" t="s">
        <v>453</v>
      </c>
      <c r="CX55" s="170" t="s">
        <v>454</v>
      </c>
      <c r="CY55" s="170" t="s">
        <v>455</v>
      </c>
      <c r="CZ55" s="170" t="s">
        <v>456</v>
      </c>
      <c r="DA55" s="170" t="s">
        <v>457</v>
      </c>
      <c r="DB55" s="170" t="s">
        <v>458</v>
      </c>
      <c r="DC55" s="170" t="s">
        <v>459</v>
      </c>
      <c r="DD55" s="170" t="s">
        <v>460</v>
      </c>
      <c r="DE55" s="170" t="s">
        <v>461</v>
      </c>
      <c r="DF55" s="170" t="s">
        <v>462</v>
      </c>
      <c r="DG55" s="170" t="s">
        <v>463</v>
      </c>
      <c r="DH55" s="170" t="s">
        <v>464</v>
      </c>
    </row>
    <row r="56" spans="2:112" ht="17.5" x14ac:dyDescent="0.35">
      <c r="B56" s="170" t="s">
        <v>372</v>
      </c>
      <c r="F56" s="170">
        <v>54</v>
      </c>
      <c r="G56" s="172" t="s">
        <v>365</v>
      </c>
      <c r="H56" s="173" t="s">
        <v>346</v>
      </c>
      <c r="I56" s="175"/>
      <c r="J56" s="170" t="str">
        <f t="shared" si="0"/>
        <v>fiftyfour</v>
      </c>
      <c r="K56" s="170" t="s">
        <v>505</v>
      </c>
    </row>
    <row r="57" spans="2:112" ht="17.5" x14ac:dyDescent="0.35">
      <c r="B57" s="170" t="s">
        <v>372</v>
      </c>
      <c r="C57" s="176"/>
      <c r="D57" s="176"/>
      <c r="E57" s="176"/>
      <c r="F57" s="170">
        <v>55</v>
      </c>
      <c r="G57" s="172" t="s">
        <v>365</v>
      </c>
      <c r="H57" s="173" t="s">
        <v>347</v>
      </c>
      <c r="I57" s="175"/>
      <c r="J57" s="170" t="str">
        <f t="shared" si="0"/>
        <v>fiftyfive</v>
      </c>
      <c r="K57" s="176" t="s">
        <v>506</v>
      </c>
      <c r="M57" s="176"/>
    </row>
    <row r="58" spans="2:112" ht="17.5" x14ac:dyDescent="0.35">
      <c r="B58" s="170" t="s">
        <v>372</v>
      </c>
      <c r="C58" s="176"/>
      <c r="D58" s="176"/>
      <c r="E58" s="176"/>
      <c r="F58" s="170">
        <v>56</v>
      </c>
      <c r="G58" s="172" t="s">
        <v>365</v>
      </c>
      <c r="H58" s="173" t="s">
        <v>348</v>
      </c>
      <c r="I58" s="175"/>
      <c r="J58" s="170" t="str">
        <f t="shared" si="0"/>
        <v>fiftysix</v>
      </c>
      <c r="K58" s="176" t="s">
        <v>507</v>
      </c>
      <c r="M58" s="176"/>
    </row>
    <row r="59" spans="2:112" ht="17.5" x14ac:dyDescent="0.35">
      <c r="B59" s="170" t="s">
        <v>372</v>
      </c>
      <c r="C59" s="176"/>
      <c r="D59" s="176"/>
      <c r="E59" s="176"/>
      <c r="F59" s="170">
        <v>57</v>
      </c>
      <c r="G59" s="172" t="s">
        <v>365</v>
      </c>
      <c r="H59" s="173" t="s">
        <v>349</v>
      </c>
      <c r="I59" s="175"/>
      <c r="J59" s="170" t="str">
        <f t="shared" si="0"/>
        <v>fiftyseven</v>
      </c>
      <c r="K59" s="176" t="s">
        <v>508</v>
      </c>
      <c r="M59" s="176"/>
    </row>
    <row r="60" spans="2:112" ht="17.5" x14ac:dyDescent="0.35">
      <c r="B60" s="170" t="s">
        <v>372</v>
      </c>
      <c r="C60" s="176"/>
      <c r="D60" s="176"/>
      <c r="E60" s="176"/>
      <c r="F60" s="170">
        <v>58</v>
      </c>
      <c r="G60" s="172" t="s">
        <v>365</v>
      </c>
      <c r="H60" s="173" t="s">
        <v>350</v>
      </c>
      <c r="I60" s="175"/>
      <c r="J60" s="170" t="str">
        <f t="shared" si="0"/>
        <v>fiftyeight</v>
      </c>
      <c r="K60" s="176" t="s">
        <v>509</v>
      </c>
      <c r="M60" s="176"/>
    </row>
    <row r="61" spans="2:112" ht="17.5" x14ac:dyDescent="0.35">
      <c r="B61" s="170" t="s">
        <v>372</v>
      </c>
      <c r="C61" s="176"/>
      <c r="D61" s="176"/>
      <c r="E61" s="176"/>
      <c r="F61" s="170">
        <v>59</v>
      </c>
      <c r="G61" s="172" t="s">
        <v>365</v>
      </c>
      <c r="H61" s="173" t="s">
        <v>351</v>
      </c>
      <c r="I61" s="175"/>
      <c r="J61" s="170" t="str">
        <f t="shared" si="0"/>
        <v>fiftynine</v>
      </c>
      <c r="K61" s="176" t="s">
        <v>510</v>
      </c>
      <c r="M61" s="176"/>
    </row>
    <row r="62" spans="2:112" ht="17.5" x14ac:dyDescent="0.35">
      <c r="B62" s="170" t="s">
        <v>372</v>
      </c>
      <c r="C62" s="176"/>
      <c r="D62" s="176"/>
      <c r="E62" s="176"/>
      <c r="F62" s="170">
        <v>60</v>
      </c>
      <c r="G62" s="172" t="s">
        <v>366</v>
      </c>
      <c r="H62" s="176"/>
      <c r="I62" s="176"/>
      <c r="J62" s="170" t="str">
        <f t="shared" si="0"/>
        <v>sixty</v>
      </c>
      <c r="K62" s="176" t="s">
        <v>366</v>
      </c>
      <c r="M62" s="176"/>
    </row>
    <row r="63" spans="2:112" ht="17.5" x14ac:dyDescent="0.35">
      <c r="B63" s="170" t="s">
        <v>372</v>
      </c>
      <c r="C63" s="176"/>
      <c r="D63" s="176"/>
      <c r="E63" s="176"/>
      <c r="F63" s="170">
        <v>61</v>
      </c>
      <c r="G63" s="172" t="s">
        <v>366</v>
      </c>
      <c r="H63" s="172" t="s">
        <v>343</v>
      </c>
      <c r="I63" s="174"/>
      <c r="J63" s="170" t="str">
        <f t="shared" si="0"/>
        <v>sixtyone</v>
      </c>
      <c r="K63" s="176" t="s">
        <v>511</v>
      </c>
      <c r="M63" s="176"/>
    </row>
    <row r="64" spans="2:112" ht="17.5" x14ac:dyDescent="0.35">
      <c r="B64" s="170" t="s">
        <v>372</v>
      </c>
      <c r="F64" s="170">
        <v>62</v>
      </c>
      <c r="G64" s="172" t="s">
        <v>366</v>
      </c>
      <c r="H64" s="172" t="s">
        <v>344</v>
      </c>
      <c r="I64" s="174"/>
      <c r="J64" s="170" t="str">
        <f t="shared" si="0"/>
        <v>sixtytwo</v>
      </c>
      <c r="K64" s="170" t="s">
        <v>512</v>
      </c>
    </row>
    <row r="65" spans="2:11" ht="17.5" x14ac:dyDescent="0.35">
      <c r="B65" s="170" t="s">
        <v>372</v>
      </c>
      <c r="F65" s="170">
        <v>63</v>
      </c>
      <c r="G65" s="172" t="s">
        <v>366</v>
      </c>
      <c r="H65" s="172" t="s">
        <v>345</v>
      </c>
      <c r="I65" s="174"/>
      <c r="J65" s="170" t="str">
        <f t="shared" si="0"/>
        <v>sixtythree</v>
      </c>
      <c r="K65" s="170" t="s">
        <v>513</v>
      </c>
    </row>
    <row r="66" spans="2:11" ht="17.5" x14ac:dyDescent="0.35">
      <c r="B66" s="170" t="s">
        <v>372</v>
      </c>
      <c r="F66" s="170">
        <v>64</v>
      </c>
      <c r="G66" s="172" t="s">
        <v>366</v>
      </c>
      <c r="H66" s="173" t="s">
        <v>346</v>
      </c>
      <c r="I66" s="175"/>
      <c r="J66" s="170" t="str">
        <f t="shared" si="0"/>
        <v>sixtyfour</v>
      </c>
      <c r="K66" s="170" t="s">
        <v>514</v>
      </c>
    </row>
    <row r="67" spans="2:11" ht="17.5" x14ac:dyDescent="0.35">
      <c r="B67" s="170" t="s">
        <v>372</v>
      </c>
      <c r="F67" s="170">
        <v>65</v>
      </c>
      <c r="G67" s="172" t="s">
        <v>366</v>
      </c>
      <c r="H67" s="173" t="s">
        <v>347</v>
      </c>
      <c r="I67" s="175"/>
      <c r="J67" s="170" t="str">
        <f t="shared" ref="J67:J101" si="1">G67&amp;H67</f>
        <v>sixtyfive</v>
      </c>
      <c r="K67" s="170" t="s">
        <v>515</v>
      </c>
    </row>
    <row r="68" spans="2:11" ht="17.5" x14ac:dyDescent="0.35">
      <c r="B68" s="170" t="s">
        <v>372</v>
      </c>
      <c r="F68" s="170">
        <v>66</v>
      </c>
      <c r="G68" s="172" t="s">
        <v>366</v>
      </c>
      <c r="H68" s="173" t="s">
        <v>348</v>
      </c>
      <c r="I68" s="175"/>
      <c r="J68" s="170" t="str">
        <f t="shared" si="1"/>
        <v>sixtysix</v>
      </c>
      <c r="K68" s="170" t="s">
        <v>516</v>
      </c>
    </row>
    <row r="69" spans="2:11" ht="17.5" x14ac:dyDescent="0.35">
      <c r="B69" s="170" t="s">
        <v>372</v>
      </c>
      <c r="F69" s="170">
        <v>67</v>
      </c>
      <c r="G69" s="172" t="s">
        <v>366</v>
      </c>
      <c r="H69" s="173" t="s">
        <v>349</v>
      </c>
      <c r="I69" s="175"/>
      <c r="J69" s="170" t="str">
        <f t="shared" si="1"/>
        <v>sixtyseven</v>
      </c>
      <c r="K69" s="170" t="s">
        <v>517</v>
      </c>
    </row>
    <row r="70" spans="2:11" ht="17.5" x14ac:dyDescent="0.35">
      <c r="B70" s="170" t="s">
        <v>372</v>
      </c>
      <c r="F70" s="170">
        <v>68</v>
      </c>
      <c r="G70" s="172" t="s">
        <v>366</v>
      </c>
      <c r="H70" s="173" t="s">
        <v>350</v>
      </c>
      <c r="I70" s="175"/>
      <c r="J70" s="170" t="str">
        <f t="shared" si="1"/>
        <v>sixtyeight</v>
      </c>
      <c r="K70" s="170" t="s">
        <v>518</v>
      </c>
    </row>
    <row r="71" spans="2:11" ht="17.5" x14ac:dyDescent="0.35">
      <c r="B71" s="170" t="s">
        <v>372</v>
      </c>
      <c r="F71" s="170">
        <v>69</v>
      </c>
      <c r="G71" s="172" t="s">
        <v>366</v>
      </c>
      <c r="H71" s="173" t="s">
        <v>351</v>
      </c>
      <c r="I71" s="175"/>
      <c r="J71" s="170" t="str">
        <f t="shared" si="1"/>
        <v>sixtynine</v>
      </c>
      <c r="K71" s="170" t="s">
        <v>519</v>
      </c>
    </row>
    <row r="72" spans="2:11" ht="35" x14ac:dyDescent="0.35">
      <c r="B72" s="170" t="s">
        <v>372</v>
      </c>
      <c r="F72" s="170">
        <v>70</v>
      </c>
      <c r="G72" s="172" t="s">
        <v>367</v>
      </c>
      <c r="J72" s="170" t="str">
        <f t="shared" si="1"/>
        <v>seventy</v>
      </c>
      <c r="K72" s="170" t="s">
        <v>367</v>
      </c>
    </row>
    <row r="73" spans="2:11" ht="35" x14ac:dyDescent="0.35">
      <c r="B73" s="170" t="s">
        <v>372</v>
      </c>
      <c r="F73" s="170">
        <v>71</v>
      </c>
      <c r="G73" s="172" t="s">
        <v>367</v>
      </c>
      <c r="H73" s="172" t="s">
        <v>343</v>
      </c>
      <c r="I73" s="174"/>
      <c r="J73" s="170" t="str">
        <f t="shared" si="1"/>
        <v>seventyone</v>
      </c>
      <c r="K73" s="170" t="s">
        <v>520</v>
      </c>
    </row>
    <row r="74" spans="2:11" ht="35" x14ac:dyDescent="0.35">
      <c r="B74" s="170" t="s">
        <v>372</v>
      </c>
      <c r="F74" s="170">
        <v>72</v>
      </c>
      <c r="G74" s="172" t="s">
        <v>367</v>
      </c>
      <c r="H74" s="172" t="s">
        <v>344</v>
      </c>
      <c r="I74" s="174"/>
      <c r="J74" s="170" t="str">
        <f t="shared" si="1"/>
        <v>seventytwo</v>
      </c>
      <c r="K74" s="170" t="s">
        <v>521</v>
      </c>
    </row>
    <row r="75" spans="2:11" ht="35" x14ac:dyDescent="0.35">
      <c r="B75" s="170" t="s">
        <v>372</v>
      </c>
      <c r="F75" s="170">
        <v>73</v>
      </c>
      <c r="G75" s="172" t="s">
        <v>367</v>
      </c>
      <c r="H75" s="172" t="s">
        <v>345</v>
      </c>
      <c r="I75" s="174"/>
      <c r="J75" s="170" t="str">
        <f t="shared" si="1"/>
        <v>seventythree</v>
      </c>
      <c r="K75" s="170" t="s">
        <v>522</v>
      </c>
    </row>
    <row r="76" spans="2:11" ht="35" x14ac:dyDescent="0.35">
      <c r="B76" s="170" t="s">
        <v>372</v>
      </c>
      <c r="F76" s="170">
        <v>74</v>
      </c>
      <c r="G76" s="172" t="s">
        <v>367</v>
      </c>
      <c r="H76" s="173" t="s">
        <v>346</v>
      </c>
      <c r="I76" s="175"/>
      <c r="J76" s="170" t="str">
        <f t="shared" si="1"/>
        <v>seventyfour</v>
      </c>
      <c r="K76" s="170" t="s">
        <v>523</v>
      </c>
    </row>
    <row r="77" spans="2:11" ht="35" x14ac:dyDescent="0.35">
      <c r="B77" s="170" t="s">
        <v>372</v>
      </c>
      <c r="F77" s="170">
        <v>75</v>
      </c>
      <c r="G77" s="172" t="s">
        <v>367</v>
      </c>
      <c r="H77" s="173" t="s">
        <v>347</v>
      </c>
      <c r="I77" s="175"/>
      <c r="J77" s="170" t="str">
        <f t="shared" si="1"/>
        <v>seventyfive</v>
      </c>
      <c r="K77" s="170" t="s">
        <v>524</v>
      </c>
    </row>
    <row r="78" spans="2:11" ht="35" x14ac:dyDescent="0.35">
      <c r="B78" s="170" t="s">
        <v>372</v>
      </c>
      <c r="F78" s="170">
        <v>76</v>
      </c>
      <c r="G78" s="172" t="s">
        <v>367</v>
      </c>
      <c r="H78" s="173" t="s">
        <v>348</v>
      </c>
      <c r="I78" s="175"/>
      <c r="J78" s="170" t="str">
        <f t="shared" si="1"/>
        <v>seventysix</v>
      </c>
      <c r="K78" s="170" t="s">
        <v>525</v>
      </c>
    </row>
    <row r="79" spans="2:11" ht="35" x14ac:dyDescent="0.35">
      <c r="B79" s="170" t="s">
        <v>372</v>
      </c>
      <c r="F79" s="170">
        <v>77</v>
      </c>
      <c r="G79" s="172" t="s">
        <v>367</v>
      </c>
      <c r="H79" s="173" t="s">
        <v>349</v>
      </c>
      <c r="I79" s="175"/>
      <c r="J79" s="170" t="str">
        <f t="shared" si="1"/>
        <v>seventyseven</v>
      </c>
      <c r="K79" s="170" t="s">
        <v>526</v>
      </c>
    </row>
    <row r="80" spans="2:11" ht="35" x14ac:dyDescent="0.35">
      <c r="B80" s="170" t="s">
        <v>372</v>
      </c>
      <c r="F80" s="170">
        <v>78</v>
      </c>
      <c r="G80" s="172" t="s">
        <v>367</v>
      </c>
      <c r="H80" s="173" t="s">
        <v>350</v>
      </c>
      <c r="I80" s="175"/>
      <c r="J80" s="170" t="str">
        <f t="shared" si="1"/>
        <v>seventyeight</v>
      </c>
      <c r="K80" s="170" t="s">
        <v>527</v>
      </c>
    </row>
    <row r="81" spans="2:11" ht="35" x14ac:dyDescent="0.35">
      <c r="B81" s="170" t="s">
        <v>372</v>
      </c>
      <c r="F81" s="170">
        <v>79</v>
      </c>
      <c r="G81" s="172" t="s">
        <v>367</v>
      </c>
      <c r="H81" s="173" t="s">
        <v>351</v>
      </c>
      <c r="I81" s="175"/>
      <c r="J81" s="170" t="str">
        <f t="shared" si="1"/>
        <v>seventynine</v>
      </c>
      <c r="K81" s="170" t="s">
        <v>528</v>
      </c>
    </row>
    <row r="82" spans="2:11" ht="17.5" x14ac:dyDescent="0.35">
      <c r="B82" s="170" t="s">
        <v>372</v>
      </c>
      <c r="F82" s="170">
        <v>80</v>
      </c>
      <c r="G82" s="172" t="s">
        <v>368</v>
      </c>
      <c r="J82" s="170" t="str">
        <f t="shared" si="1"/>
        <v>eighty</v>
      </c>
      <c r="K82" s="170" t="s">
        <v>368</v>
      </c>
    </row>
    <row r="83" spans="2:11" ht="17.5" x14ac:dyDescent="0.35">
      <c r="B83" s="170" t="s">
        <v>372</v>
      </c>
      <c r="F83" s="170">
        <v>81</v>
      </c>
      <c r="G83" s="172" t="s">
        <v>368</v>
      </c>
      <c r="H83" s="172" t="s">
        <v>343</v>
      </c>
      <c r="I83" s="174"/>
      <c r="J83" s="170" t="str">
        <f t="shared" si="1"/>
        <v>eightyone</v>
      </c>
      <c r="K83" s="170" t="s">
        <v>529</v>
      </c>
    </row>
    <row r="84" spans="2:11" ht="17.5" x14ac:dyDescent="0.35">
      <c r="B84" s="170" t="s">
        <v>372</v>
      </c>
      <c r="F84" s="170">
        <v>82</v>
      </c>
      <c r="G84" s="172" t="s">
        <v>368</v>
      </c>
      <c r="H84" s="172" t="s">
        <v>344</v>
      </c>
      <c r="I84" s="174"/>
      <c r="J84" s="170" t="str">
        <f t="shared" si="1"/>
        <v>eightytwo</v>
      </c>
      <c r="K84" s="170" t="s">
        <v>530</v>
      </c>
    </row>
    <row r="85" spans="2:11" ht="17.5" x14ac:dyDescent="0.35">
      <c r="B85" s="170" t="s">
        <v>372</v>
      </c>
      <c r="F85" s="170">
        <v>83</v>
      </c>
      <c r="G85" s="172" t="s">
        <v>368</v>
      </c>
      <c r="H85" s="172" t="s">
        <v>345</v>
      </c>
      <c r="I85" s="174"/>
      <c r="J85" s="170" t="str">
        <f t="shared" si="1"/>
        <v>eightythree</v>
      </c>
      <c r="K85" s="170" t="s">
        <v>531</v>
      </c>
    </row>
    <row r="86" spans="2:11" ht="17.5" x14ac:dyDescent="0.35">
      <c r="B86" s="170" t="s">
        <v>372</v>
      </c>
      <c r="F86" s="170">
        <v>84</v>
      </c>
      <c r="G86" s="172" t="s">
        <v>368</v>
      </c>
      <c r="H86" s="173" t="s">
        <v>346</v>
      </c>
      <c r="I86" s="175"/>
      <c r="J86" s="170" t="str">
        <f t="shared" si="1"/>
        <v>eightyfour</v>
      </c>
      <c r="K86" s="170" t="s">
        <v>532</v>
      </c>
    </row>
    <row r="87" spans="2:11" ht="17.5" x14ac:dyDescent="0.35">
      <c r="B87" s="170" t="s">
        <v>372</v>
      </c>
      <c r="F87" s="170">
        <v>85</v>
      </c>
      <c r="G87" s="172" t="s">
        <v>368</v>
      </c>
      <c r="H87" s="173" t="s">
        <v>347</v>
      </c>
      <c r="I87" s="175"/>
      <c r="J87" s="170" t="str">
        <f t="shared" si="1"/>
        <v>eightyfive</v>
      </c>
      <c r="K87" s="170" t="s">
        <v>533</v>
      </c>
    </row>
    <row r="88" spans="2:11" ht="17.5" x14ac:dyDescent="0.35">
      <c r="B88" s="170" t="s">
        <v>372</v>
      </c>
      <c r="F88" s="170">
        <v>86</v>
      </c>
      <c r="G88" s="172" t="s">
        <v>368</v>
      </c>
      <c r="H88" s="173" t="s">
        <v>348</v>
      </c>
      <c r="I88" s="175"/>
      <c r="J88" s="170" t="str">
        <f t="shared" si="1"/>
        <v>eightysix</v>
      </c>
      <c r="K88" s="170" t="s">
        <v>534</v>
      </c>
    </row>
    <row r="89" spans="2:11" ht="17.5" x14ac:dyDescent="0.35">
      <c r="B89" s="170" t="s">
        <v>372</v>
      </c>
      <c r="F89" s="170">
        <v>87</v>
      </c>
      <c r="G89" s="172" t="s">
        <v>368</v>
      </c>
      <c r="H89" s="173" t="s">
        <v>349</v>
      </c>
      <c r="I89" s="175"/>
      <c r="J89" s="170" t="str">
        <f t="shared" si="1"/>
        <v>eightyseven</v>
      </c>
      <c r="K89" s="170" t="s">
        <v>535</v>
      </c>
    </row>
    <row r="90" spans="2:11" ht="17.5" x14ac:dyDescent="0.35">
      <c r="B90" s="170" t="s">
        <v>372</v>
      </c>
      <c r="F90" s="170">
        <v>88</v>
      </c>
      <c r="G90" s="172" t="s">
        <v>368</v>
      </c>
      <c r="H90" s="173" t="s">
        <v>350</v>
      </c>
      <c r="I90" s="175"/>
      <c r="J90" s="170" t="str">
        <f t="shared" si="1"/>
        <v>eightyeight</v>
      </c>
      <c r="K90" s="170" t="s">
        <v>536</v>
      </c>
    </row>
    <row r="91" spans="2:11" ht="17.5" x14ac:dyDescent="0.35">
      <c r="B91" s="170" t="s">
        <v>372</v>
      </c>
      <c r="F91" s="170">
        <v>89</v>
      </c>
      <c r="G91" s="172" t="s">
        <v>368</v>
      </c>
      <c r="H91" s="173" t="s">
        <v>351</v>
      </c>
      <c r="I91" s="175"/>
      <c r="J91" s="170" t="str">
        <f t="shared" si="1"/>
        <v>eightynine</v>
      </c>
      <c r="K91" s="170" t="s">
        <v>537</v>
      </c>
    </row>
    <row r="92" spans="2:11" ht="17.5" x14ac:dyDescent="0.35">
      <c r="B92" s="170" t="s">
        <v>372</v>
      </c>
      <c r="F92" s="170">
        <v>90</v>
      </c>
      <c r="G92" s="172" t="s">
        <v>369</v>
      </c>
      <c r="J92" s="170" t="str">
        <f t="shared" si="1"/>
        <v>ninety</v>
      </c>
      <c r="K92" s="170" t="s">
        <v>369</v>
      </c>
    </row>
    <row r="93" spans="2:11" ht="17.5" x14ac:dyDescent="0.35">
      <c r="B93" s="170" t="s">
        <v>372</v>
      </c>
      <c r="F93" s="170">
        <v>91</v>
      </c>
      <c r="G93" s="172" t="s">
        <v>369</v>
      </c>
      <c r="H93" s="172" t="s">
        <v>343</v>
      </c>
      <c r="I93" s="174"/>
      <c r="J93" s="170" t="str">
        <f t="shared" si="1"/>
        <v>ninetyone</v>
      </c>
      <c r="K93" s="170" t="s">
        <v>538</v>
      </c>
    </row>
    <row r="94" spans="2:11" ht="17.5" x14ac:dyDescent="0.35">
      <c r="B94" s="170" t="s">
        <v>372</v>
      </c>
      <c r="F94" s="170">
        <v>92</v>
      </c>
      <c r="G94" s="172" t="s">
        <v>369</v>
      </c>
      <c r="H94" s="172" t="s">
        <v>344</v>
      </c>
      <c r="I94" s="174"/>
      <c r="J94" s="170" t="str">
        <f t="shared" si="1"/>
        <v>ninetytwo</v>
      </c>
      <c r="K94" s="170" t="s">
        <v>539</v>
      </c>
    </row>
    <row r="95" spans="2:11" ht="17.5" x14ac:dyDescent="0.35">
      <c r="B95" s="170" t="s">
        <v>372</v>
      </c>
      <c r="F95" s="170">
        <v>93</v>
      </c>
      <c r="G95" s="172" t="s">
        <v>369</v>
      </c>
      <c r="H95" s="172" t="s">
        <v>345</v>
      </c>
      <c r="I95" s="174"/>
      <c r="J95" s="170" t="str">
        <f t="shared" si="1"/>
        <v>ninetythree</v>
      </c>
      <c r="K95" s="170" t="s">
        <v>540</v>
      </c>
    </row>
    <row r="96" spans="2:11" ht="17.5" x14ac:dyDescent="0.35">
      <c r="B96" s="170" t="s">
        <v>372</v>
      </c>
      <c r="F96" s="170">
        <v>94</v>
      </c>
      <c r="G96" s="172" t="s">
        <v>369</v>
      </c>
      <c r="H96" s="173" t="s">
        <v>346</v>
      </c>
      <c r="I96" s="175"/>
      <c r="J96" s="170" t="str">
        <f t="shared" si="1"/>
        <v>ninetyfour</v>
      </c>
      <c r="K96" s="170" t="s">
        <v>541</v>
      </c>
    </row>
    <row r="97" spans="2:29" ht="17.5" x14ac:dyDescent="0.35">
      <c r="B97" s="170" t="s">
        <v>372</v>
      </c>
      <c r="F97" s="170">
        <v>95</v>
      </c>
      <c r="G97" s="172" t="s">
        <v>369</v>
      </c>
      <c r="H97" s="173" t="s">
        <v>347</v>
      </c>
      <c r="I97" s="175"/>
      <c r="J97" s="170" t="str">
        <f t="shared" si="1"/>
        <v>ninetyfive</v>
      </c>
      <c r="K97" s="170" t="s">
        <v>542</v>
      </c>
    </row>
    <row r="98" spans="2:29" ht="17.5" x14ac:dyDescent="0.35">
      <c r="B98" s="170" t="s">
        <v>372</v>
      </c>
      <c r="F98" s="170">
        <v>96</v>
      </c>
      <c r="G98" s="172" t="s">
        <v>369</v>
      </c>
      <c r="H98" s="173" t="s">
        <v>348</v>
      </c>
      <c r="I98" s="175"/>
      <c r="J98" s="170" t="str">
        <f t="shared" si="1"/>
        <v>ninetysix</v>
      </c>
      <c r="K98" s="170" t="s">
        <v>543</v>
      </c>
    </row>
    <row r="99" spans="2:29" ht="17.5" x14ac:dyDescent="0.35">
      <c r="B99" s="170" t="s">
        <v>372</v>
      </c>
      <c r="F99" s="170">
        <v>97</v>
      </c>
      <c r="G99" s="172" t="s">
        <v>369</v>
      </c>
      <c r="H99" s="173" t="s">
        <v>349</v>
      </c>
      <c r="I99" s="175"/>
      <c r="J99" s="170" t="str">
        <f t="shared" si="1"/>
        <v>ninetyseven</v>
      </c>
      <c r="K99" s="170" t="s">
        <v>544</v>
      </c>
    </row>
    <row r="100" spans="2:29" ht="17.5" x14ac:dyDescent="0.35">
      <c r="B100" s="170" t="s">
        <v>372</v>
      </c>
      <c r="F100" s="170">
        <v>98</v>
      </c>
      <c r="G100" s="172" t="s">
        <v>369</v>
      </c>
      <c r="H100" s="173" t="s">
        <v>350</v>
      </c>
      <c r="I100" s="175"/>
      <c r="J100" s="170" t="str">
        <f t="shared" si="1"/>
        <v>ninetyeight</v>
      </c>
      <c r="K100" s="170" t="s">
        <v>545</v>
      </c>
    </row>
    <row r="101" spans="2:29" ht="17.5" x14ac:dyDescent="0.35">
      <c r="B101" s="170" t="s">
        <v>372</v>
      </c>
      <c r="F101" s="170">
        <v>99</v>
      </c>
      <c r="G101" s="172" t="s">
        <v>369</v>
      </c>
      <c r="H101" s="173" t="s">
        <v>351</v>
      </c>
      <c r="I101" s="175"/>
      <c r="J101" s="170" t="str">
        <f t="shared" si="1"/>
        <v>ninetynine</v>
      </c>
      <c r="K101" s="170" t="s">
        <v>546</v>
      </c>
    </row>
    <row r="102" spans="2:29" ht="17.5" x14ac:dyDescent="0.35">
      <c r="B102" s="170" t="s">
        <v>372</v>
      </c>
      <c r="F102" s="170">
        <v>100</v>
      </c>
      <c r="G102" s="172" t="s">
        <v>343</v>
      </c>
      <c r="H102" s="170" t="s">
        <v>465</v>
      </c>
      <c r="I102" s="170" t="s">
        <v>465</v>
      </c>
      <c r="J102" s="170" t="str">
        <f t="shared" ref="J102:J165" si="2">G102&amp;H102&amp;I102</f>
        <v>onezerozero</v>
      </c>
      <c r="K102" s="170" t="s">
        <v>547</v>
      </c>
    </row>
    <row r="103" spans="2:29" ht="17.5" x14ac:dyDescent="0.35">
      <c r="B103" s="170" t="s">
        <v>372</v>
      </c>
      <c r="F103" s="170">
        <v>101</v>
      </c>
      <c r="G103" s="172" t="s">
        <v>343</v>
      </c>
      <c r="H103" s="170" t="s">
        <v>465</v>
      </c>
      <c r="I103" s="172" t="s">
        <v>343</v>
      </c>
      <c r="J103" s="170" t="str">
        <f t="shared" si="2"/>
        <v>onezeroone</v>
      </c>
      <c r="K103" s="172" t="s">
        <v>548</v>
      </c>
      <c r="U103" s="170" t="s">
        <v>466</v>
      </c>
      <c r="V103" s="170" t="s">
        <v>467</v>
      </c>
      <c r="W103" s="170" t="s">
        <v>468</v>
      </c>
      <c r="X103" s="170" t="s">
        <v>469</v>
      </c>
      <c r="Y103" s="170" t="s">
        <v>470</v>
      </c>
      <c r="Z103" s="170" t="s">
        <v>471</v>
      </c>
      <c r="AA103" s="170" t="s">
        <v>472</v>
      </c>
      <c r="AB103" s="170" t="s">
        <v>473</v>
      </c>
      <c r="AC103" s="170" t="s">
        <v>474</v>
      </c>
    </row>
    <row r="104" spans="2:29" ht="17.5" x14ac:dyDescent="0.35">
      <c r="B104" s="170" t="s">
        <v>372</v>
      </c>
      <c r="F104" s="170">
        <v>102</v>
      </c>
      <c r="G104" s="172" t="s">
        <v>343</v>
      </c>
      <c r="H104" s="170" t="s">
        <v>465</v>
      </c>
      <c r="I104" s="172" t="s">
        <v>344</v>
      </c>
      <c r="J104" s="170" t="str">
        <f t="shared" si="2"/>
        <v>onezerotwo</v>
      </c>
      <c r="K104" s="172" t="s">
        <v>549</v>
      </c>
    </row>
    <row r="105" spans="2:29" ht="17.5" x14ac:dyDescent="0.35">
      <c r="B105" s="170" t="s">
        <v>372</v>
      </c>
      <c r="F105" s="170">
        <v>103</v>
      </c>
      <c r="G105" s="172" t="s">
        <v>343</v>
      </c>
      <c r="H105" s="170" t="s">
        <v>465</v>
      </c>
      <c r="I105" s="172" t="s">
        <v>345</v>
      </c>
      <c r="J105" s="170" t="str">
        <f t="shared" si="2"/>
        <v>onezerothree</v>
      </c>
      <c r="K105" s="172" t="s">
        <v>550</v>
      </c>
    </row>
    <row r="106" spans="2:29" ht="17.5" x14ac:dyDescent="0.35">
      <c r="B106" s="170" t="s">
        <v>372</v>
      </c>
      <c r="F106" s="170">
        <v>104</v>
      </c>
      <c r="G106" s="172" t="s">
        <v>343</v>
      </c>
      <c r="H106" s="170" t="s">
        <v>465</v>
      </c>
      <c r="I106" s="173" t="s">
        <v>346</v>
      </c>
      <c r="J106" s="170" t="str">
        <f t="shared" si="2"/>
        <v>onezerofour</v>
      </c>
      <c r="K106" s="173" t="s">
        <v>551</v>
      </c>
    </row>
    <row r="107" spans="2:29" ht="17.5" x14ac:dyDescent="0.35">
      <c r="B107" s="170" t="s">
        <v>372</v>
      </c>
      <c r="F107" s="170">
        <v>105</v>
      </c>
      <c r="G107" s="172" t="s">
        <v>343</v>
      </c>
      <c r="H107" s="170" t="s">
        <v>465</v>
      </c>
      <c r="I107" s="173" t="s">
        <v>347</v>
      </c>
      <c r="J107" s="170" t="str">
        <f t="shared" si="2"/>
        <v>onezerofive</v>
      </c>
      <c r="K107" s="173" t="s">
        <v>552</v>
      </c>
    </row>
    <row r="108" spans="2:29" ht="17.5" x14ac:dyDescent="0.35">
      <c r="B108" s="170" t="s">
        <v>372</v>
      </c>
      <c r="F108" s="170">
        <v>106</v>
      </c>
      <c r="G108" s="172" t="s">
        <v>343</v>
      </c>
      <c r="H108" s="170" t="s">
        <v>465</v>
      </c>
      <c r="I108" s="173" t="s">
        <v>348</v>
      </c>
      <c r="J108" s="170" t="str">
        <f t="shared" si="2"/>
        <v>onezerosix</v>
      </c>
      <c r="K108" s="173" t="s">
        <v>553</v>
      </c>
    </row>
    <row r="109" spans="2:29" ht="17.5" x14ac:dyDescent="0.35">
      <c r="B109" s="170" t="s">
        <v>372</v>
      </c>
      <c r="F109" s="170">
        <v>107</v>
      </c>
      <c r="G109" s="172" t="s">
        <v>343</v>
      </c>
      <c r="H109" s="170" t="s">
        <v>465</v>
      </c>
      <c r="I109" s="173" t="s">
        <v>349</v>
      </c>
      <c r="J109" s="170" t="str">
        <f t="shared" si="2"/>
        <v>onezeroseven</v>
      </c>
      <c r="K109" s="173" t="s">
        <v>554</v>
      </c>
    </row>
    <row r="110" spans="2:29" ht="17.5" x14ac:dyDescent="0.35">
      <c r="B110" s="170" t="s">
        <v>372</v>
      </c>
      <c r="F110" s="170">
        <v>108</v>
      </c>
      <c r="G110" s="172" t="s">
        <v>343</v>
      </c>
      <c r="H110" s="170" t="s">
        <v>465</v>
      </c>
      <c r="I110" s="173" t="s">
        <v>350</v>
      </c>
      <c r="J110" s="170" t="str">
        <f t="shared" si="2"/>
        <v>onezeroeight</v>
      </c>
      <c r="K110" s="173" t="s">
        <v>555</v>
      </c>
    </row>
    <row r="111" spans="2:29" ht="17.5" x14ac:dyDescent="0.35">
      <c r="B111" s="170" t="s">
        <v>372</v>
      </c>
      <c r="F111" s="170">
        <v>109</v>
      </c>
      <c r="G111" s="172" t="s">
        <v>343</v>
      </c>
      <c r="H111" s="170" t="s">
        <v>465</v>
      </c>
      <c r="I111" s="173" t="s">
        <v>351</v>
      </c>
      <c r="J111" s="170" t="str">
        <f t="shared" si="2"/>
        <v>onezeronine</v>
      </c>
      <c r="K111" s="173" t="s">
        <v>556</v>
      </c>
    </row>
    <row r="112" spans="2:29" ht="17.5" x14ac:dyDescent="0.35">
      <c r="B112" s="170" t="s">
        <v>372</v>
      </c>
      <c r="F112" s="170">
        <v>110</v>
      </c>
      <c r="G112" s="172" t="s">
        <v>343</v>
      </c>
      <c r="H112" s="172" t="s">
        <v>343</v>
      </c>
      <c r="I112" s="170" t="s">
        <v>465</v>
      </c>
      <c r="J112" s="170" t="str">
        <f t="shared" si="2"/>
        <v>oneonezero</v>
      </c>
      <c r="K112" s="170" t="s">
        <v>557</v>
      </c>
    </row>
    <row r="113" spans="2:11" ht="17.5" x14ac:dyDescent="0.35">
      <c r="B113" s="170" t="s">
        <v>372</v>
      </c>
      <c r="F113" s="170">
        <v>111</v>
      </c>
      <c r="G113" s="172" t="s">
        <v>343</v>
      </c>
      <c r="H113" s="172" t="s">
        <v>343</v>
      </c>
      <c r="I113" s="172" t="s">
        <v>343</v>
      </c>
      <c r="J113" s="170" t="str">
        <f t="shared" si="2"/>
        <v>oneoneone</v>
      </c>
      <c r="K113" s="170" t="s">
        <v>558</v>
      </c>
    </row>
    <row r="114" spans="2:11" ht="17.5" x14ac:dyDescent="0.35">
      <c r="B114" s="170" t="s">
        <v>372</v>
      </c>
      <c r="F114" s="170">
        <v>112</v>
      </c>
      <c r="G114" s="172" t="s">
        <v>343</v>
      </c>
      <c r="H114" s="172" t="s">
        <v>343</v>
      </c>
      <c r="I114" s="172" t="s">
        <v>344</v>
      </c>
      <c r="J114" s="170" t="str">
        <f t="shared" si="2"/>
        <v>oneonetwo</v>
      </c>
      <c r="K114" s="170" t="s">
        <v>559</v>
      </c>
    </row>
    <row r="115" spans="2:11" ht="17.5" x14ac:dyDescent="0.35">
      <c r="B115" s="170" t="s">
        <v>372</v>
      </c>
      <c r="F115" s="170">
        <v>113</v>
      </c>
      <c r="G115" s="172" t="s">
        <v>343</v>
      </c>
      <c r="H115" s="172" t="s">
        <v>343</v>
      </c>
      <c r="I115" s="172" t="s">
        <v>345</v>
      </c>
      <c r="J115" s="170" t="str">
        <f t="shared" si="2"/>
        <v>oneonethree</v>
      </c>
      <c r="K115" s="170" t="s">
        <v>560</v>
      </c>
    </row>
    <row r="116" spans="2:11" ht="17.5" x14ac:dyDescent="0.35">
      <c r="B116" s="170" t="s">
        <v>372</v>
      </c>
      <c r="F116" s="170">
        <v>114</v>
      </c>
      <c r="G116" s="172" t="s">
        <v>343</v>
      </c>
      <c r="H116" s="172" t="s">
        <v>343</v>
      </c>
      <c r="I116" s="173" t="s">
        <v>346</v>
      </c>
      <c r="J116" s="170" t="str">
        <f t="shared" si="2"/>
        <v>oneonefour</v>
      </c>
      <c r="K116" s="170" t="s">
        <v>561</v>
      </c>
    </row>
    <row r="117" spans="2:11" ht="17.5" x14ac:dyDescent="0.35">
      <c r="B117" s="170" t="s">
        <v>372</v>
      </c>
      <c r="F117" s="170">
        <v>115</v>
      </c>
      <c r="G117" s="172" t="s">
        <v>343</v>
      </c>
      <c r="H117" s="172" t="s">
        <v>343</v>
      </c>
      <c r="I117" s="173" t="s">
        <v>347</v>
      </c>
      <c r="J117" s="170" t="str">
        <f t="shared" si="2"/>
        <v>oneonefive</v>
      </c>
      <c r="K117" s="170" t="s">
        <v>562</v>
      </c>
    </row>
    <row r="118" spans="2:11" ht="17.5" x14ac:dyDescent="0.35">
      <c r="B118" s="170" t="s">
        <v>372</v>
      </c>
      <c r="F118" s="170">
        <v>116</v>
      </c>
      <c r="G118" s="172" t="s">
        <v>343</v>
      </c>
      <c r="H118" s="172" t="s">
        <v>343</v>
      </c>
      <c r="I118" s="173" t="s">
        <v>348</v>
      </c>
      <c r="J118" s="170" t="str">
        <f t="shared" si="2"/>
        <v>oneonesix</v>
      </c>
      <c r="K118" s="170" t="s">
        <v>563</v>
      </c>
    </row>
    <row r="119" spans="2:11" ht="17.5" x14ac:dyDescent="0.35">
      <c r="B119" s="170" t="s">
        <v>372</v>
      </c>
      <c r="F119" s="170">
        <v>117</v>
      </c>
      <c r="G119" s="172" t="s">
        <v>343</v>
      </c>
      <c r="H119" s="172" t="s">
        <v>343</v>
      </c>
      <c r="I119" s="173" t="s">
        <v>349</v>
      </c>
      <c r="J119" s="170" t="str">
        <f t="shared" si="2"/>
        <v>oneoneseven</v>
      </c>
      <c r="K119" s="170" t="s">
        <v>564</v>
      </c>
    </row>
    <row r="120" spans="2:11" ht="17.5" x14ac:dyDescent="0.35">
      <c r="B120" s="170" t="s">
        <v>372</v>
      </c>
      <c r="F120" s="170">
        <v>118</v>
      </c>
      <c r="G120" s="172" t="s">
        <v>343</v>
      </c>
      <c r="H120" s="172" t="s">
        <v>343</v>
      </c>
      <c r="I120" s="173" t="s">
        <v>350</v>
      </c>
      <c r="J120" s="170" t="str">
        <f t="shared" si="2"/>
        <v>oneoneeight</v>
      </c>
      <c r="K120" s="170" t="s">
        <v>565</v>
      </c>
    </row>
    <row r="121" spans="2:11" ht="17.5" x14ac:dyDescent="0.35">
      <c r="B121" s="170" t="s">
        <v>372</v>
      </c>
      <c r="F121" s="170">
        <v>119</v>
      </c>
      <c r="G121" s="172" t="s">
        <v>343</v>
      </c>
      <c r="H121" s="172" t="s">
        <v>343</v>
      </c>
      <c r="I121" s="173" t="s">
        <v>351</v>
      </c>
      <c r="J121" s="170" t="str">
        <f t="shared" si="2"/>
        <v>oneonenine</v>
      </c>
      <c r="K121" s="170" t="s">
        <v>566</v>
      </c>
    </row>
    <row r="122" spans="2:11" ht="17.5" x14ac:dyDescent="0.35">
      <c r="B122" s="170" t="s">
        <v>372</v>
      </c>
      <c r="F122" s="170">
        <v>120</v>
      </c>
      <c r="G122" s="172" t="s">
        <v>343</v>
      </c>
      <c r="H122" s="170" t="s">
        <v>344</v>
      </c>
      <c r="I122" s="170" t="s">
        <v>465</v>
      </c>
      <c r="J122" s="170" t="str">
        <f t="shared" si="2"/>
        <v>onetwozero</v>
      </c>
      <c r="K122" s="170" t="s">
        <v>567</v>
      </c>
    </row>
    <row r="123" spans="2:11" ht="17.5" x14ac:dyDescent="0.35">
      <c r="B123" s="170" t="s">
        <v>372</v>
      </c>
      <c r="F123" s="170">
        <v>121</v>
      </c>
      <c r="G123" s="172" t="s">
        <v>343</v>
      </c>
      <c r="H123" s="170" t="s">
        <v>344</v>
      </c>
      <c r="I123" s="172" t="s">
        <v>343</v>
      </c>
      <c r="J123" s="170" t="str">
        <f t="shared" si="2"/>
        <v>onetwoone</v>
      </c>
      <c r="K123" s="170" t="s">
        <v>568</v>
      </c>
    </row>
    <row r="124" spans="2:11" ht="17.5" x14ac:dyDescent="0.35">
      <c r="B124" s="170" t="s">
        <v>372</v>
      </c>
      <c r="F124" s="170">
        <v>122</v>
      </c>
      <c r="G124" s="172" t="s">
        <v>343</v>
      </c>
      <c r="H124" s="170" t="s">
        <v>344</v>
      </c>
      <c r="I124" s="172" t="s">
        <v>344</v>
      </c>
      <c r="J124" s="170" t="str">
        <f t="shared" si="2"/>
        <v>onetwotwo</v>
      </c>
      <c r="K124" s="170" t="s">
        <v>569</v>
      </c>
    </row>
    <row r="125" spans="2:11" ht="17.5" x14ac:dyDescent="0.35">
      <c r="B125" s="170" t="s">
        <v>372</v>
      </c>
      <c r="F125" s="170">
        <v>123</v>
      </c>
      <c r="G125" s="172" t="s">
        <v>343</v>
      </c>
      <c r="H125" s="170" t="s">
        <v>344</v>
      </c>
      <c r="I125" s="172" t="s">
        <v>345</v>
      </c>
      <c r="J125" s="170" t="str">
        <f t="shared" si="2"/>
        <v>onetwothree</v>
      </c>
      <c r="K125" s="170" t="s">
        <v>570</v>
      </c>
    </row>
    <row r="126" spans="2:11" ht="17.5" x14ac:dyDescent="0.35">
      <c r="B126" s="170" t="s">
        <v>372</v>
      </c>
      <c r="F126" s="170">
        <v>124</v>
      </c>
      <c r="G126" s="172" t="s">
        <v>343</v>
      </c>
      <c r="H126" s="170" t="s">
        <v>344</v>
      </c>
      <c r="I126" s="173" t="s">
        <v>346</v>
      </c>
      <c r="J126" s="170" t="str">
        <f t="shared" si="2"/>
        <v>onetwofour</v>
      </c>
      <c r="K126" s="170" t="s">
        <v>571</v>
      </c>
    </row>
    <row r="127" spans="2:11" ht="17.5" x14ac:dyDescent="0.35">
      <c r="B127" s="170" t="s">
        <v>372</v>
      </c>
      <c r="F127" s="170">
        <v>125</v>
      </c>
      <c r="G127" s="172" t="s">
        <v>343</v>
      </c>
      <c r="H127" s="170" t="s">
        <v>344</v>
      </c>
      <c r="I127" s="173" t="s">
        <v>347</v>
      </c>
      <c r="J127" s="170" t="str">
        <f t="shared" si="2"/>
        <v>onetwofive</v>
      </c>
      <c r="K127" s="170" t="s">
        <v>572</v>
      </c>
    </row>
    <row r="128" spans="2:11" ht="17.5" x14ac:dyDescent="0.35">
      <c r="B128" s="170" t="s">
        <v>372</v>
      </c>
      <c r="F128" s="170">
        <v>126</v>
      </c>
      <c r="G128" s="172" t="s">
        <v>343</v>
      </c>
      <c r="H128" s="170" t="s">
        <v>344</v>
      </c>
      <c r="I128" s="173" t="s">
        <v>348</v>
      </c>
      <c r="J128" s="170" t="str">
        <f t="shared" si="2"/>
        <v>onetwosix</v>
      </c>
      <c r="K128" s="170" t="s">
        <v>573</v>
      </c>
    </row>
    <row r="129" spans="2:11" ht="17.5" x14ac:dyDescent="0.35">
      <c r="B129" s="170" t="s">
        <v>372</v>
      </c>
      <c r="F129" s="170">
        <v>127</v>
      </c>
      <c r="G129" s="172" t="s">
        <v>343</v>
      </c>
      <c r="H129" s="170" t="s">
        <v>344</v>
      </c>
      <c r="I129" s="173" t="s">
        <v>349</v>
      </c>
      <c r="J129" s="170" t="str">
        <f t="shared" si="2"/>
        <v>onetwoseven</v>
      </c>
      <c r="K129" s="170" t="s">
        <v>574</v>
      </c>
    </row>
    <row r="130" spans="2:11" ht="17.5" x14ac:dyDescent="0.35">
      <c r="B130" s="170" t="s">
        <v>372</v>
      </c>
      <c r="F130" s="170">
        <v>128</v>
      </c>
      <c r="G130" s="172" t="s">
        <v>343</v>
      </c>
      <c r="H130" s="170" t="s">
        <v>344</v>
      </c>
      <c r="I130" s="173" t="s">
        <v>350</v>
      </c>
      <c r="J130" s="170" t="str">
        <f t="shared" si="2"/>
        <v>onetwoeight</v>
      </c>
      <c r="K130" s="170" t="s">
        <v>575</v>
      </c>
    </row>
    <row r="131" spans="2:11" ht="17.5" x14ac:dyDescent="0.35">
      <c r="B131" s="170" t="s">
        <v>372</v>
      </c>
      <c r="F131" s="170">
        <v>129</v>
      </c>
      <c r="G131" s="172" t="s">
        <v>343</v>
      </c>
      <c r="H131" s="170" t="s">
        <v>344</v>
      </c>
      <c r="I131" s="173" t="s">
        <v>351</v>
      </c>
      <c r="J131" s="170" t="str">
        <f t="shared" si="2"/>
        <v>onetwonine</v>
      </c>
      <c r="K131" s="170" t="s">
        <v>576</v>
      </c>
    </row>
    <row r="132" spans="2:11" ht="17.5" x14ac:dyDescent="0.35">
      <c r="B132" s="170" t="s">
        <v>372</v>
      </c>
      <c r="F132" s="170">
        <v>130</v>
      </c>
      <c r="G132" s="172" t="s">
        <v>343</v>
      </c>
      <c r="H132" s="170" t="s">
        <v>345</v>
      </c>
      <c r="I132" s="170" t="s">
        <v>465</v>
      </c>
      <c r="J132" s="170" t="str">
        <f t="shared" si="2"/>
        <v>onethreezero</v>
      </c>
      <c r="K132" s="170" t="s">
        <v>577</v>
      </c>
    </row>
    <row r="133" spans="2:11" ht="17.5" x14ac:dyDescent="0.35">
      <c r="B133" s="170" t="s">
        <v>372</v>
      </c>
      <c r="F133" s="170">
        <v>131</v>
      </c>
      <c r="G133" s="172" t="s">
        <v>343</v>
      </c>
      <c r="H133" s="170" t="s">
        <v>345</v>
      </c>
      <c r="I133" s="172" t="s">
        <v>343</v>
      </c>
      <c r="J133" s="170" t="str">
        <f t="shared" si="2"/>
        <v>onethreeone</v>
      </c>
      <c r="K133" s="170" t="s">
        <v>578</v>
      </c>
    </row>
    <row r="134" spans="2:11" ht="17.5" x14ac:dyDescent="0.35">
      <c r="B134" s="170" t="s">
        <v>372</v>
      </c>
      <c r="F134" s="170">
        <v>132</v>
      </c>
      <c r="G134" s="172" t="s">
        <v>343</v>
      </c>
      <c r="H134" s="170" t="s">
        <v>345</v>
      </c>
      <c r="I134" s="172" t="s">
        <v>344</v>
      </c>
      <c r="J134" s="170" t="str">
        <f t="shared" si="2"/>
        <v>onethreetwo</v>
      </c>
      <c r="K134" s="170" t="s">
        <v>579</v>
      </c>
    </row>
    <row r="135" spans="2:11" ht="17.5" x14ac:dyDescent="0.35">
      <c r="B135" s="170" t="s">
        <v>372</v>
      </c>
      <c r="F135" s="170">
        <v>133</v>
      </c>
      <c r="G135" s="172" t="s">
        <v>343</v>
      </c>
      <c r="H135" s="170" t="s">
        <v>345</v>
      </c>
      <c r="I135" s="172" t="s">
        <v>345</v>
      </c>
      <c r="J135" s="170" t="str">
        <f t="shared" si="2"/>
        <v>onethreethree</v>
      </c>
      <c r="K135" s="170" t="s">
        <v>580</v>
      </c>
    </row>
    <row r="136" spans="2:11" ht="17.5" x14ac:dyDescent="0.35">
      <c r="B136" s="170" t="s">
        <v>372</v>
      </c>
      <c r="F136" s="170">
        <v>134</v>
      </c>
      <c r="G136" s="172" t="s">
        <v>343</v>
      </c>
      <c r="H136" s="170" t="s">
        <v>345</v>
      </c>
      <c r="I136" s="173" t="s">
        <v>346</v>
      </c>
      <c r="J136" s="170" t="str">
        <f t="shared" si="2"/>
        <v>onethreefour</v>
      </c>
      <c r="K136" s="170" t="s">
        <v>581</v>
      </c>
    </row>
    <row r="137" spans="2:11" ht="17.5" x14ac:dyDescent="0.35">
      <c r="B137" s="170" t="s">
        <v>372</v>
      </c>
      <c r="F137" s="170">
        <v>135</v>
      </c>
      <c r="G137" s="172" t="s">
        <v>343</v>
      </c>
      <c r="H137" s="170" t="s">
        <v>345</v>
      </c>
      <c r="I137" s="173" t="s">
        <v>347</v>
      </c>
      <c r="J137" s="170" t="str">
        <f t="shared" si="2"/>
        <v>onethreefive</v>
      </c>
      <c r="K137" s="170" t="s">
        <v>582</v>
      </c>
    </row>
    <row r="138" spans="2:11" ht="17.5" x14ac:dyDescent="0.35">
      <c r="B138" s="170" t="s">
        <v>372</v>
      </c>
      <c r="F138" s="170">
        <v>136</v>
      </c>
      <c r="G138" s="172" t="s">
        <v>343</v>
      </c>
      <c r="H138" s="170" t="s">
        <v>345</v>
      </c>
      <c r="I138" s="173" t="s">
        <v>348</v>
      </c>
      <c r="J138" s="170" t="str">
        <f t="shared" si="2"/>
        <v>onethreesix</v>
      </c>
      <c r="K138" s="170" t="s">
        <v>583</v>
      </c>
    </row>
    <row r="139" spans="2:11" ht="17.5" x14ac:dyDescent="0.35">
      <c r="B139" s="170" t="s">
        <v>372</v>
      </c>
      <c r="F139" s="170">
        <v>137</v>
      </c>
      <c r="G139" s="172" t="s">
        <v>343</v>
      </c>
      <c r="H139" s="170" t="s">
        <v>345</v>
      </c>
      <c r="I139" s="173" t="s">
        <v>349</v>
      </c>
      <c r="J139" s="170" t="str">
        <f t="shared" si="2"/>
        <v>onethreeseven</v>
      </c>
      <c r="K139" s="170" t="s">
        <v>584</v>
      </c>
    </row>
    <row r="140" spans="2:11" ht="17.5" x14ac:dyDescent="0.35">
      <c r="B140" s="170" t="s">
        <v>372</v>
      </c>
      <c r="F140" s="170">
        <v>138</v>
      </c>
      <c r="G140" s="172" t="s">
        <v>343</v>
      </c>
      <c r="H140" s="170" t="s">
        <v>345</v>
      </c>
      <c r="I140" s="173" t="s">
        <v>350</v>
      </c>
      <c r="J140" s="170" t="str">
        <f t="shared" si="2"/>
        <v>onethreeeight</v>
      </c>
      <c r="K140" s="170" t="s">
        <v>585</v>
      </c>
    </row>
    <row r="141" spans="2:11" ht="17.5" x14ac:dyDescent="0.35">
      <c r="B141" s="170" t="s">
        <v>372</v>
      </c>
      <c r="F141" s="170">
        <v>139</v>
      </c>
      <c r="G141" s="172" t="s">
        <v>343</v>
      </c>
      <c r="H141" s="170" t="s">
        <v>345</v>
      </c>
      <c r="I141" s="173" t="s">
        <v>351</v>
      </c>
      <c r="J141" s="170" t="str">
        <f t="shared" si="2"/>
        <v>onethreenine</v>
      </c>
      <c r="K141" s="170" t="s">
        <v>586</v>
      </c>
    </row>
    <row r="142" spans="2:11" ht="17.5" x14ac:dyDescent="0.35">
      <c r="B142" s="170" t="s">
        <v>372</v>
      </c>
      <c r="F142" s="170">
        <v>140</v>
      </c>
      <c r="G142" s="172" t="s">
        <v>343</v>
      </c>
      <c r="H142" s="170" t="s">
        <v>346</v>
      </c>
      <c r="I142" s="170" t="s">
        <v>465</v>
      </c>
      <c r="J142" s="170" t="str">
        <f t="shared" si="2"/>
        <v>onefourzero</v>
      </c>
      <c r="K142" s="170" t="s">
        <v>587</v>
      </c>
    </row>
    <row r="143" spans="2:11" ht="17.5" x14ac:dyDescent="0.35">
      <c r="B143" s="170" t="s">
        <v>372</v>
      </c>
      <c r="F143" s="170">
        <v>141</v>
      </c>
      <c r="G143" s="172" t="s">
        <v>343</v>
      </c>
      <c r="H143" s="170" t="s">
        <v>346</v>
      </c>
      <c r="I143" s="172" t="s">
        <v>343</v>
      </c>
      <c r="J143" s="170" t="str">
        <f t="shared" si="2"/>
        <v>onefourone</v>
      </c>
      <c r="K143" s="170" t="s">
        <v>588</v>
      </c>
    </row>
    <row r="144" spans="2:11" ht="17.5" x14ac:dyDescent="0.35">
      <c r="B144" s="170" t="s">
        <v>372</v>
      </c>
      <c r="F144" s="170">
        <v>142</v>
      </c>
      <c r="G144" s="172" t="s">
        <v>343</v>
      </c>
      <c r="H144" s="170" t="s">
        <v>346</v>
      </c>
      <c r="I144" s="172" t="s">
        <v>344</v>
      </c>
      <c r="J144" s="170" t="str">
        <f t="shared" si="2"/>
        <v>onefourtwo</v>
      </c>
      <c r="K144" s="170" t="s">
        <v>589</v>
      </c>
    </row>
    <row r="145" spans="2:11" ht="17.5" x14ac:dyDescent="0.35">
      <c r="B145" s="170" t="s">
        <v>372</v>
      </c>
      <c r="F145" s="170">
        <v>143</v>
      </c>
      <c r="G145" s="172" t="s">
        <v>343</v>
      </c>
      <c r="H145" s="170" t="s">
        <v>346</v>
      </c>
      <c r="I145" s="172" t="s">
        <v>345</v>
      </c>
      <c r="J145" s="170" t="str">
        <f t="shared" si="2"/>
        <v>onefourthree</v>
      </c>
      <c r="K145" s="170" t="s">
        <v>590</v>
      </c>
    </row>
    <row r="146" spans="2:11" ht="17.5" x14ac:dyDescent="0.35">
      <c r="B146" s="170" t="s">
        <v>372</v>
      </c>
      <c r="F146" s="170">
        <v>144</v>
      </c>
      <c r="G146" s="172" t="s">
        <v>343</v>
      </c>
      <c r="H146" s="170" t="s">
        <v>346</v>
      </c>
      <c r="I146" s="173" t="s">
        <v>346</v>
      </c>
      <c r="J146" s="170" t="str">
        <f t="shared" si="2"/>
        <v>onefourfour</v>
      </c>
      <c r="K146" s="170" t="s">
        <v>591</v>
      </c>
    </row>
    <row r="147" spans="2:11" ht="17.5" x14ac:dyDescent="0.35">
      <c r="B147" s="170" t="s">
        <v>372</v>
      </c>
      <c r="F147" s="170">
        <v>145</v>
      </c>
      <c r="G147" s="172" t="s">
        <v>343</v>
      </c>
      <c r="H147" s="170" t="s">
        <v>346</v>
      </c>
      <c r="I147" s="173" t="s">
        <v>347</v>
      </c>
      <c r="J147" s="170" t="str">
        <f t="shared" si="2"/>
        <v>onefourfive</v>
      </c>
      <c r="K147" s="170" t="s">
        <v>592</v>
      </c>
    </row>
    <row r="148" spans="2:11" ht="17.5" x14ac:dyDescent="0.35">
      <c r="B148" s="170" t="s">
        <v>372</v>
      </c>
      <c r="F148" s="170">
        <v>146</v>
      </c>
      <c r="G148" s="172" t="s">
        <v>343</v>
      </c>
      <c r="H148" s="170" t="s">
        <v>346</v>
      </c>
      <c r="I148" s="173" t="s">
        <v>348</v>
      </c>
      <c r="J148" s="170" t="str">
        <f t="shared" si="2"/>
        <v>onefoursix</v>
      </c>
      <c r="K148" s="170" t="s">
        <v>593</v>
      </c>
    </row>
    <row r="149" spans="2:11" ht="17.5" x14ac:dyDescent="0.35">
      <c r="B149" s="170" t="s">
        <v>372</v>
      </c>
      <c r="F149" s="170">
        <v>147</v>
      </c>
      <c r="G149" s="172" t="s">
        <v>343</v>
      </c>
      <c r="H149" s="170" t="s">
        <v>346</v>
      </c>
      <c r="I149" s="173" t="s">
        <v>349</v>
      </c>
      <c r="J149" s="170" t="str">
        <f t="shared" si="2"/>
        <v>onefourseven</v>
      </c>
      <c r="K149" s="170" t="s">
        <v>594</v>
      </c>
    </row>
    <row r="150" spans="2:11" ht="17.5" x14ac:dyDescent="0.35">
      <c r="B150" s="170" t="s">
        <v>372</v>
      </c>
      <c r="F150" s="170">
        <v>148</v>
      </c>
      <c r="G150" s="172" t="s">
        <v>343</v>
      </c>
      <c r="H150" s="170" t="s">
        <v>346</v>
      </c>
      <c r="I150" s="173" t="s">
        <v>350</v>
      </c>
      <c r="J150" s="170" t="str">
        <f t="shared" si="2"/>
        <v>onefoureight</v>
      </c>
      <c r="K150" s="170" t="s">
        <v>595</v>
      </c>
    </row>
    <row r="151" spans="2:11" ht="17.5" x14ac:dyDescent="0.35">
      <c r="B151" s="170" t="s">
        <v>372</v>
      </c>
      <c r="F151" s="170">
        <v>149</v>
      </c>
      <c r="G151" s="172" t="s">
        <v>343</v>
      </c>
      <c r="H151" s="170" t="s">
        <v>346</v>
      </c>
      <c r="I151" s="173" t="s">
        <v>351</v>
      </c>
      <c r="J151" s="170" t="str">
        <f t="shared" si="2"/>
        <v>onefournine</v>
      </c>
      <c r="K151" s="170" t="s">
        <v>596</v>
      </c>
    </row>
    <row r="152" spans="2:11" ht="17.5" x14ac:dyDescent="0.35">
      <c r="B152" s="170" t="s">
        <v>372</v>
      </c>
      <c r="F152" s="170">
        <v>150</v>
      </c>
      <c r="G152" s="172" t="s">
        <v>343</v>
      </c>
      <c r="H152" s="170" t="s">
        <v>347</v>
      </c>
      <c r="I152" s="177" t="s">
        <v>465</v>
      </c>
      <c r="J152" s="170" t="str">
        <f t="shared" si="2"/>
        <v>onefivezero</v>
      </c>
      <c r="K152" s="170" t="s">
        <v>597</v>
      </c>
    </row>
    <row r="153" spans="2:11" ht="17.5" x14ac:dyDescent="0.35">
      <c r="F153" s="170">
        <v>151</v>
      </c>
      <c r="G153" s="172" t="s">
        <v>343</v>
      </c>
      <c r="H153" s="170" t="s">
        <v>347</v>
      </c>
      <c r="I153" s="172" t="s">
        <v>343</v>
      </c>
      <c r="J153" s="170" t="str">
        <f t="shared" si="2"/>
        <v>onefiveone</v>
      </c>
      <c r="K153" s="170" t="s">
        <v>598</v>
      </c>
    </row>
    <row r="154" spans="2:11" ht="17.5" x14ac:dyDescent="0.35">
      <c r="F154" s="170">
        <v>152</v>
      </c>
      <c r="G154" s="172" t="s">
        <v>343</v>
      </c>
      <c r="H154" s="170" t="s">
        <v>347</v>
      </c>
      <c r="I154" s="172" t="s">
        <v>344</v>
      </c>
      <c r="J154" s="170" t="str">
        <f t="shared" si="2"/>
        <v>onefivetwo</v>
      </c>
      <c r="K154" s="170" t="s">
        <v>599</v>
      </c>
    </row>
    <row r="155" spans="2:11" ht="17.5" x14ac:dyDescent="0.35">
      <c r="F155" s="170">
        <v>153</v>
      </c>
      <c r="G155" s="172" t="s">
        <v>343</v>
      </c>
      <c r="H155" s="170" t="s">
        <v>347</v>
      </c>
      <c r="I155" s="172" t="s">
        <v>345</v>
      </c>
      <c r="J155" s="170" t="str">
        <f t="shared" si="2"/>
        <v>onefivethree</v>
      </c>
      <c r="K155" s="170" t="s">
        <v>600</v>
      </c>
    </row>
    <row r="156" spans="2:11" ht="17.5" x14ac:dyDescent="0.35">
      <c r="F156" s="170">
        <v>154</v>
      </c>
      <c r="G156" s="172" t="s">
        <v>343</v>
      </c>
      <c r="H156" s="170" t="s">
        <v>347</v>
      </c>
      <c r="I156" s="173" t="s">
        <v>346</v>
      </c>
      <c r="J156" s="170" t="str">
        <f t="shared" si="2"/>
        <v>onefivefour</v>
      </c>
      <c r="K156" s="170" t="s">
        <v>601</v>
      </c>
    </row>
    <row r="157" spans="2:11" ht="17.5" x14ac:dyDescent="0.35">
      <c r="F157" s="170">
        <v>155</v>
      </c>
      <c r="G157" s="172" t="s">
        <v>343</v>
      </c>
      <c r="H157" s="170" t="s">
        <v>347</v>
      </c>
      <c r="I157" s="173" t="s">
        <v>347</v>
      </c>
      <c r="J157" s="170" t="str">
        <f t="shared" si="2"/>
        <v>onefivefive</v>
      </c>
      <c r="K157" s="170" t="s">
        <v>602</v>
      </c>
    </row>
    <row r="158" spans="2:11" ht="17.5" x14ac:dyDescent="0.35">
      <c r="F158" s="170">
        <v>156</v>
      </c>
      <c r="G158" s="172" t="s">
        <v>343</v>
      </c>
      <c r="H158" s="170" t="s">
        <v>347</v>
      </c>
      <c r="I158" s="173" t="s">
        <v>348</v>
      </c>
      <c r="J158" s="170" t="str">
        <f t="shared" si="2"/>
        <v>onefivesix</v>
      </c>
      <c r="K158" s="170" t="s">
        <v>603</v>
      </c>
    </row>
    <row r="159" spans="2:11" ht="17.5" x14ac:dyDescent="0.35">
      <c r="F159" s="170">
        <v>157</v>
      </c>
      <c r="G159" s="172" t="s">
        <v>343</v>
      </c>
      <c r="H159" s="170" t="s">
        <v>347</v>
      </c>
      <c r="I159" s="173" t="s">
        <v>349</v>
      </c>
      <c r="J159" s="170" t="str">
        <f t="shared" si="2"/>
        <v>onefiveseven</v>
      </c>
      <c r="K159" s="170" t="s">
        <v>604</v>
      </c>
    </row>
    <row r="160" spans="2:11" ht="17.5" x14ac:dyDescent="0.35">
      <c r="F160" s="170">
        <v>158</v>
      </c>
      <c r="G160" s="172" t="s">
        <v>343</v>
      </c>
      <c r="H160" s="170" t="s">
        <v>347</v>
      </c>
      <c r="I160" s="173" t="s">
        <v>350</v>
      </c>
      <c r="J160" s="170" t="str">
        <f t="shared" si="2"/>
        <v>onefiveeight</v>
      </c>
      <c r="K160" s="170" t="s">
        <v>605</v>
      </c>
    </row>
    <row r="161" spans="6:11" ht="17.5" x14ac:dyDescent="0.35">
      <c r="F161" s="170">
        <v>159</v>
      </c>
      <c r="G161" s="172" t="s">
        <v>343</v>
      </c>
      <c r="H161" s="170" t="s">
        <v>347</v>
      </c>
      <c r="I161" s="173" t="s">
        <v>351</v>
      </c>
      <c r="J161" s="170" t="str">
        <f t="shared" si="2"/>
        <v>onefivenine</v>
      </c>
      <c r="K161" s="170" t="s">
        <v>606</v>
      </c>
    </row>
    <row r="162" spans="6:11" ht="17.5" x14ac:dyDescent="0.35">
      <c r="F162" s="170">
        <v>160</v>
      </c>
      <c r="G162" s="172" t="s">
        <v>343</v>
      </c>
      <c r="H162" s="170" t="s">
        <v>348</v>
      </c>
      <c r="I162" s="177" t="s">
        <v>465</v>
      </c>
      <c r="J162" s="170" t="str">
        <f t="shared" si="2"/>
        <v>onesixzero</v>
      </c>
      <c r="K162" s="170" t="s">
        <v>607</v>
      </c>
    </row>
    <row r="163" spans="6:11" ht="17.5" x14ac:dyDescent="0.35">
      <c r="F163" s="170">
        <v>161</v>
      </c>
      <c r="G163" s="172" t="s">
        <v>343</v>
      </c>
      <c r="H163" s="170" t="s">
        <v>348</v>
      </c>
      <c r="I163" s="172" t="s">
        <v>343</v>
      </c>
      <c r="J163" s="170" t="str">
        <f t="shared" si="2"/>
        <v>onesixone</v>
      </c>
      <c r="K163" s="170" t="s">
        <v>608</v>
      </c>
    </row>
    <row r="164" spans="6:11" ht="17.5" x14ac:dyDescent="0.35">
      <c r="F164" s="170">
        <v>162</v>
      </c>
      <c r="G164" s="172" t="s">
        <v>343</v>
      </c>
      <c r="H164" s="170" t="s">
        <v>348</v>
      </c>
      <c r="I164" s="172" t="s">
        <v>344</v>
      </c>
      <c r="J164" s="170" t="str">
        <f t="shared" si="2"/>
        <v>onesixtwo</v>
      </c>
      <c r="K164" s="170" t="s">
        <v>609</v>
      </c>
    </row>
    <row r="165" spans="6:11" ht="17.5" x14ac:dyDescent="0.35">
      <c r="F165" s="170">
        <v>163</v>
      </c>
      <c r="G165" s="172" t="s">
        <v>343</v>
      </c>
      <c r="H165" s="170" t="s">
        <v>348</v>
      </c>
      <c r="I165" s="172" t="s">
        <v>345</v>
      </c>
      <c r="J165" s="170" t="str">
        <f t="shared" si="2"/>
        <v>onesixthree</v>
      </c>
      <c r="K165" s="170" t="s">
        <v>610</v>
      </c>
    </row>
    <row r="166" spans="6:11" ht="17.5" x14ac:dyDescent="0.35">
      <c r="F166" s="170">
        <v>164</v>
      </c>
      <c r="G166" s="172" t="s">
        <v>343</v>
      </c>
      <c r="H166" s="170" t="s">
        <v>348</v>
      </c>
      <c r="I166" s="173" t="s">
        <v>346</v>
      </c>
      <c r="J166" s="170" t="str">
        <f t="shared" ref="J166:J229" si="3">G166&amp;H166&amp;I166</f>
        <v>onesixfour</v>
      </c>
      <c r="K166" s="170" t="s">
        <v>611</v>
      </c>
    </row>
    <row r="167" spans="6:11" ht="17.5" x14ac:dyDescent="0.35">
      <c r="F167" s="170">
        <v>165</v>
      </c>
      <c r="G167" s="172" t="s">
        <v>343</v>
      </c>
      <c r="H167" s="170" t="s">
        <v>348</v>
      </c>
      <c r="I167" s="173" t="s">
        <v>347</v>
      </c>
      <c r="J167" s="170" t="str">
        <f t="shared" si="3"/>
        <v>onesixfive</v>
      </c>
      <c r="K167" s="170" t="s">
        <v>612</v>
      </c>
    </row>
    <row r="168" spans="6:11" ht="17.5" x14ac:dyDescent="0.35">
      <c r="F168" s="170">
        <v>166</v>
      </c>
      <c r="G168" s="172" t="s">
        <v>343</v>
      </c>
      <c r="H168" s="170" t="s">
        <v>348</v>
      </c>
      <c r="I168" s="173" t="s">
        <v>348</v>
      </c>
      <c r="J168" s="170" t="str">
        <f t="shared" si="3"/>
        <v>onesixsix</v>
      </c>
      <c r="K168" s="170" t="s">
        <v>613</v>
      </c>
    </row>
    <row r="169" spans="6:11" ht="17.5" x14ac:dyDescent="0.35">
      <c r="F169" s="170">
        <v>167</v>
      </c>
      <c r="G169" s="172" t="s">
        <v>343</v>
      </c>
      <c r="H169" s="170" t="s">
        <v>348</v>
      </c>
      <c r="I169" s="173" t="s">
        <v>349</v>
      </c>
      <c r="J169" s="170" t="str">
        <f t="shared" si="3"/>
        <v>onesixseven</v>
      </c>
      <c r="K169" s="170" t="s">
        <v>614</v>
      </c>
    </row>
    <row r="170" spans="6:11" ht="17.5" x14ac:dyDescent="0.35">
      <c r="F170" s="170">
        <v>168</v>
      </c>
      <c r="G170" s="172" t="s">
        <v>343</v>
      </c>
      <c r="H170" s="170" t="s">
        <v>348</v>
      </c>
      <c r="I170" s="173" t="s">
        <v>350</v>
      </c>
      <c r="J170" s="170" t="str">
        <f t="shared" si="3"/>
        <v>onesixeight</v>
      </c>
      <c r="K170" s="170" t="s">
        <v>615</v>
      </c>
    </row>
    <row r="171" spans="6:11" ht="17.5" x14ac:dyDescent="0.35">
      <c r="F171" s="170">
        <v>169</v>
      </c>
      <c r="G171" s="172" t="s">
        <v>343</v>
      </c>
      <c r="H171" s="170" t="s">
        <v>348</v>
      </c>
      <c r="I171" s="173" t="s">
        <v>351</v>
      </c>
      <c r="J171" s="170" t="str">
        <f t="shared" si="3"/>
        <v>onesixnine</v>
      </c>
      <c r="K171" s="170" t="s">
        <v>616</v>
      </c>
    </row>
    <row r="172" spans="6:11" ht="17.5" x14ac:dyDescent="0.35">
      <c r="F172" s="170">
        <v>170</v>
      </c>
      <c r="G172" s="172" t="s">
        <v>343</v>
      </c>
      <c r="H172" s="170" t="s">
        <v>349</v>
      </c>
      <c r="I172" s="170" t="s">
        <v>465</v>
      </c>
      <c r="J172" s="170" t="str">
        <f t="shared" si="3"/>
        <v>onesevenzero</v>
      </c>
      <c r="K172" s="170" t="s">
        <v>617</v>
      </c>
    </row>
    <row r="173" spans="6:11" ht="17.5" x14ac:dyDescent="0.35">
      <c r="F173" s="170">
        <v>171</v>
      </c>
      <c r="G173" s="172" t="s">
        <v>343</v>
      </c>
      <c r="H173" s="170" t="s">
        <v>349</v>
      </c>
      <c r="I173" s="172" t="s">
        <v>343</v>
      </c>
      <c r="J173" s="170" t="str">
        <f t="shared" si="3"/>
        <v>onesevenone</v>
      </c>
      <c r="K173" s="170" t="s">
        <v>618</v>
      </c>
    </row>
    <row r="174" spans="6:11" ht="17.5" x14ac:dyDescent="0.35">
      <c r="F174" s="170">
        <v>172</v>
      </c>
      <c r="G174" s="172" t="s">
        <v>343</v>
      </c>
      <c r="H174" s="170" t="s">
        <v>349</v>
      </c>
      <c r="I174" s="172" t="s">
        <v>344</v>
      </c>
      <c r="J174" s="170" t="str">
        <f t="shared" si="3"/>
        <v>oneseventwo</v>
      </c>
      <c r="K174" s="170" t="s">
        <v>619</v>
      </c>
    </row>
    <row r="175" spans="6:11" ht="17.5" x14ac:dyDescent="0.35">
      <c r="F175" s="170">
        <v>173</v>
      </c>
      <c r="G175" s="172" t="s">
        <v>343</v>
      </c>
      <c r="H175" s="170" t="s">
        <v>349</v>
      </c>
      <c r="I175" s="172" t="s">
        <v>345</v>
      </c>
      <c r="J175" s="170" t="str">
        <f t="shared" si="3"/>
        <v>oneseventhree</v>
      </c>
      <c r="K175" s="170" t="s">
        <v>620</v>
      </c>
    </row>
    <row r="176" spans="6:11" ht="17.5" x14ac:dyDescent="0.35">
      <c r="F176" s="170">
        <v>174</v>
      </c>
      <c r="G176" s="172" t="s">
        <v>343</v>
      </c>
      <c r="H176" s="170" t="s">
        <v>349</v>
      </c>
      <c r="I176" s="173" t="s">
        <v>346</v>
      </c>
      <c r="J176" s="170" t="str">
        <f t="shared" si="3"/>
        <v>onesevenfour</v>
      </c>
      <c r="K176" s="170" t="s">
        <v>621</v>
      </c>
    </row>
    <row r="177" spans="6:11" ht="17.5" x14ac:dyDescent="0.35">
      <c r="F177" s="170">
        <v>175</v>
      </c>
      <c r="G177" s="172" t="s">
        <v>343</v>
      </c>
      <c r="H177" s="170" t="s">
        <v>349</v>
      </c>
      <c r="I177" s="173" t="s">
        <v>347</v>
      </c>
      <c r="J177" s="170" t="str">
        <f t="shared" si="3"/>
        <v>onesevenfive</v>
      </c>
      <c r="K177" s="170" t="s">
        <v>622</v>
      </c>
    </row>
    <row r="178" spans="6:11" ht="17.5" x14ac:dyDescent="0.35">
      <c r="F178" s="170">
        <v>176</v>
      </c>
      <c r="G178" s="172" t="s">
        <v>343</v>
      </c>
      <c r="H178" s="170" t="s">
        <v>349</v>
      </c>
      <c r="I178" s="173" t="s">
        <v>348</v>
      </c>
      <c r="J178" s="170" t="str">
        <f t="shared" si="3"/>
        <v>onesevensix</v>
      </c>
      <c r="K178" s="170" t="s">
        <v>623</v>
      </c>
    </row>
    <row r="179" spans="6:11" ht="17.5" x14ac:dyDescent="0.35">
      <c r="F179" s="170">
        <v>177</v>
      </c>
      <c r="G179" s="172" t="s">
        <v>343</v>
      </c>
      <c r="H179" s="170" t="s">
        <v>349</v>
      </c>
      <c r="I179" s="173" t="s">
        <v>349</v>
      </c>
      <c r="J179" s="170" t="str">
        <f t="shared" si="3"/>
        <v>onesevenseven</v>
      </c>
      <c r="K179" s="170" t="s">
        <v>624</v>
      </c>
    </row>
    <row r="180" spans="6:11" ht="17.5" x14ac:dyDescent="0.35">
      <c r="F180" s="170">
        <v>178</v>
      </c>
      <c r="G180" s="172" t="s">
        <v>343</v>
      </c>
      <c r="H180" s="170" t="s">
        <v>349</v>
      </c>
      <c r="I180" s="173" t="s">
        <v>350</v>
      </c>
      <c r="J180" s="170" t="str">
        <f t="shared" si="3"/>
        <v>oneseveneight</v>
      </c>
      <c r="K180" s="170" t="s">
        <v>625</v>
      </c>
    </row>
    <row r="181" spans="6:11" ht="17.5" x14ac:dyDescent="0.35">
      <c r="F181" s="170">
        <v>179</v>
      </c>
      <c r="G181" s="172" t="s">
        <v>343</v>
      </c>
      <c r="H181" s="170" t="s">
        <v>349</v>
      </c>
      <c r="I181" s="173" t="s">
        <v>351</v>
      </c>
      <c r="J181" s="170" t="str">
        <f t="shared" si="3"/>
        <v>onesevennine</v>
      </c>
      <c r="K181" s="170" t="s">
        <v>626</v>
      </c>
    </row>
    <row r="182" spans="6:11" ht="17.5" x14ac:dyDescent="0.35">
      <c r="F182" s="170">
        <v>180</v>
      </c>
      <c r="G182" s="172" t="s">
        <v>343</v>
      </c>
      <c r="H182" s="170" t="s">
        <v>350</v>
      </c>
      <c r="I182" s="170" t="s">
        <v>465</v>
      </c>
      <c r="J182" s="170" t="str">
        <f t="shared" si="3"/>
        <v>oneeightzero</v>
      </c>
      <c r="K182" s="170" t="s">
        <v>627</v>
      </c>
    </row>
    <row r="183" spans="6:11" ht="17.5" x14ac:dyDescent="0.35">
      <c r="F183" s="170">
        <v>181</v>
      </c>
      <c r="G183" s="172" t="s">
        <v>343</v>
      </c>
      <c r="H183" s="170" t="s">
        <v>350</v>
      </c>
      <c r="I183" s="172" t="s">
        <v>343</v>
      </c>
      <c r="J183" s="170" t="str">
        <f t="shared" si="3"/>
        <v>oneeightone</v>
      </c>
      <c r="K183" s="170" t="s">
        <v>628</v>
      </c>
    </row>
    <row r="184" spans="6:11" ht="17.5" x14ac:dyDescent="0.35">
      <c r="F184" s="170">
        <v>182</v>
      </c>
      <c r="G184" s="172" t="s">
        <v>343</v>
      </c>
      <c r="H184" s="170" t="s">
        <v>350</v>
      </c>
      <c r="I184" s="172" t="s">
        <v>344</v>
      </c>
      <c r="J184" s="170" t="str">
        <f t="shared" si="3"/>
        <v>oneeighttwo</v>
      </c>
      <c r="K184" s="170" t="s">
        <v>629</v>
      </c>
    </row>
    <row r="185" spans="6:11" ht="17.5" x14ac:dyDescent="0.35">
      <c r="F185" s="170">
        <v>183</v>
      </c>
      <c r="G185" s="172" t="s">
        <v>343</v>
      </c>
      <c r="H185" s="170" t="s">
        <v>350</v>
      </c>
      <c r="I185" s="172" t="s">
        <v>345</v>
      </c>
      <c r="J185" s="170" t="str">
        <f t="shared" si="3"/>
        <v>oneeightthree</v>
      </c>
      <c r="K185" s="170" t="s">
        <v>630</v>
      </c>
    </row>
    <row r="186" spans="6:11" ht="17.5" x14ac:dyDescent="0.35">
      <c r="F186" s="170">
        <v>184</v>
      </c>
      <c r="G186" s="172" t="s">
        <v>343</v>
      </c>
      <c r="H186" s="170" t="s">
        <v>350</v>
      </c>
      <c r="I186" s="173" t="s">
        <v>346</v>
      </c>
      <c r="J186" s="170" t="str">
        <f t="shared" si="3"/>
        <v>oneeightfour</v>
      </c>
      <c r="K186" s="170" t="s">
        <v>631</v>
      </c>
    </row>
    <row r="187" spans="6:11" ht="17.5" x14ac:dyDescent="0.35">
      <c r="F187" s="170">
        <v>185</v>
      </c>
      <c r="G187" s="172" t="s">
        <v>343</v>
      </c>
      <c r="H187" s="170" t="s">
        <v>350</v>
      </c>
      <c r="I187" s="173" t="s">
        <v>347</v>
      </c>
      <c r="J187" s="170" t="str">
        <f t="shared" si="3"/>
        <v>oneeightfive</v>
      </c>
      <c r="K187" s="170" t="s">
        <v>632</v>
      </c>
    </row>
    <row r="188" spans="6:11" ht="17.5" x14ac:dyDescent="0.35">
      <c r="F188" s="170">
        <v>186</v>
      </c>
      <c r="G188" s="172" t="s">
        <v>343</v>
      </c>
      <c r="H188" s="170" t="s">
        <v>350</v>
      </c>
      <c r="I188" s="173" t="s">
        <v>348</v>
      </c>
      <c r="J188" s="170" t="str">
        <f t="shared" si="3"/>
        <v>oneeightsix</v>
      </c>
      <c r="K188" s="170" t="s">
        <v>633</v>
      </c>
    </row>
    <row r="189" spans="6:11" ht="17.5" x14ac:dyDescent="0.35">
      <c r="F189" s="170">
        <v>187</v>
      </c>
      <c r="G189" s="172" t="s">
        <v>343</v>
      </c>
      <c r="H189" s="170" t="s">
        <v>350</v>
      </c>
      <c r="I189" s="173" t="s">
        <v>349</v>
      </c>
      <c r="J189" s="170" t="str">
        <f t="shared" si="3"/>
        <v>oneeightseven</v>
      </c>
      <c r="K189" s="170" t="s">
        <v>634</v>
      </c>
    </row>
    <row r="190" spans="6:11" ht="17.5" x14ac:dyDescent="0.35">
      <c r="F190" s="170">
        <v>188</v>
      </c>
      <c r="G190" s="172" t="s">
        <v>343</v>
      </c>
      <c r="H190" s="170" t="s">
        <v>350</v>
      </c>
      <c r="I190" s="173" t="s">
        <v>350</v>
      </c>
      <c r="J190" s="170" t="str">
        <f t="shared" si="3"/>
        <v>oneeighteight</v>
      </c>
      <c r="K190" s="170" t="s">
        <v>635</v>
      </c>
    </row>
    <row r="191" spans="6:11" ht="17.5" x14ac:dyDescent="0.35">
      <c r="F191" s="170">
        <v>189</v>
      </c>
      <c r="G191" s="172" t="s">
        <v>343</v>
      </c>
      <c r="H191" s="170" t="s">
        <v>350</v>
      </c>
      <c r="I191" s="173" t="s">
        <v>351</v>
      </c>
      <c r="J191" s="170" t="str">
        <f t="shared" si="3"/>
        <v>oneeightnine</v>
      </c>
      <c r="K191" s="170" t="s">
        <v>636</v>
      </c>
    </row>
    <row r="192" spans="6:11" ht="17.5" x14ac:dyDescent="0.35">
      <c r="F192" s="170">
        <v>190</v>
      </c>
      <c r="G192" s="172" t="s">
        <v>343</v>
      </c>
      <c r="H192" s="170" t="s">
        <v>351</v>
      </c>
      <c r="I192" s="177" t="s">
        <v>465</v>
      </c>
      <c r="J192" s="170" t="str">
        <f t="shared" si="3"/>
        <v>oneninezero</v>
      </c>
      <c r="K192" s="170" t="s">
        <v>637</v>
      </c>
    </row>
    <row r="193" spans="6:11" ht="17.5" x14ac:dyDescent="0.35">
      <c r="F193" s="170">
        <v>191</v>
      </c>
      <c r="G193" s="172" t="s">
        <v>343</v>
      </c>
      <c r="H193" s="170" t="s">
        <v>351</v>
      </c>
      <c r="I193" s="172" t="s">
        <v>343</v>
      </c>
      <c r="J193" s="170" t="str">
        <f t="shared" si="3"/>
        <v>onenineone</v>
      </c>
      <c r="K193" s="170" t="s">
        <v>638</v>
      </c>
    </row>
    <row r="194" spans="6:11" ht="17.5" x14ac:dyDescent="0.35">
      <c r="F194" s="170">
        <v>192</v>
      </c>
      <c r="G194" s="172" t="s">
        <v>343</v>
      </c>
      <c r="H194" s="170" t="s">
        <v>351</v>
      </c>
      <c r="I194" s="172" t="s">
        <v>344</v>
      </c>
      <c r="J194" s="170" t="str">
        <f t="shared" si="3"/>
        <v>oneninetwo</v>
      </c>
      <c r="K194" s="170" t="s">
        <v>639</v>
      </c>
    </row>
    <row r="195" spans="6:11" ht="17.5" x14ac:dyDescent="0.35">
      <c r="F195" s="170">
        <v>193</v>
      </c>
      <c r="G195" s="172" t="s">
        <v>343</v>
      </c>
      <c r="H195" s="170" t="s">
        <v>351</v>
      </c>
      <c r="I195" s="172" t="s">
        <v>345</v>
      </c>
      <c r="J195" s="170" t="str">
        <f t="shared" si="3"/>
        <v>oneninethree</v>
      </c>
      <c r="K195" s="170" t="s">
        <v>640</v>
      </c>
    </row>
    <row r="196" spans="6:11" ht="17.5" x14ac:dyDescent="0.35">
      <c r="F196" s="170">
        <v>194</v>
      </c>
      <c r="G196" s="172" t="s">
        <v>343</v>
      </c>
      <c r="H196" s="170" t="s">
        <v>351</v>
      </c>
      <c r="I196" s="173" t="s">
        <v>346</v>
      </c>
      <c r="J196" s="170" t="str">
        <f t="shared" si="3"/>
        <v>oneninefour</v>
      </c>
      <c r="K196" s="170" t="s">
        <v>641</v>
      </c>
    </row>
    <row r="197" spans="6:11" ht="17.5" x14ac:dyDescent="0.35">
      <c r="F197" s="170">
        <v>195</v>
      </c>
      <c r="G197" s="172" t="s">
        <v>343</v>
      </c>
      <c r="H197" s="170" t="s">
        <v>351</v>
      </c>
      <c r="I197" s="173" t="s">
        <v>347</v>
      </c>
      <c r="J197" s="170" t="str">
        <f t="shared" si="3"/>
        <v>oneninefive</v>
      </c>
      <c r="K197" s="170" t="s">
        <v>642</v>
      </c>
    </row>
    <row r="198" spans="6:11" ht="17.5" x14ac:dyDescent="0.35">
      <c r="F198" s="170">
        <v>196</v>
      </c>
      <c r="G198" s="172" t="s">
        <v>343</v>
      </c>
      <c r="H198" s="170" t="s">
        <v>351</v>
      </c>
      <c r="I198" s="173" t="s">
        <v>348</v>
      </c>
      <c r="J198" s="170" t="str">
        <f t="shared" si="3"/>
        <v>oneninesix</v>
      </c>
      <c r="K198" s="170" t="s">
        <v>643</v>
      </c>
    </row>
    <row r="199" spans="6:11" ht="17.5" x14ac:dyDescent="0.35">
      <c r="F199" s="170">
        <v>197</v>
      </c>
      <c r="G199" s="172" t="s">
        <v>343</v>
      </c>
      <c r="H199" s="170" t="s">
        <v>351</v>
      </c>
      <c r="I199" s="173" t="s">
        <v>349</v>
      </c>
      <c r="J199" s="170" t="str">
        <f t="shared" si="3"/>
        <v>onenineseven</v>
      </c>
      <c r="K199" s="170" t="s">
        <v>644</v>
      </c>
    </row>
    <row r="200" spans="6:11" ht="17.5" x14ac:dyDescent="0.35">
      <c r="F200" s="170">
        <v>198</v>
      </c>
      <c r="G200" s="172" t="s">
        <v>343</v>
      </c>
      <c r="H200" s="170" t="s">
        <v>351</v>
      </c>
      <c r="I200" s="173" t="s">
        <v>350</v>
      </c>
      <c r="J200" s="170" t="str">
        <f t="shared" si="3"/>
        <v>onenineeight</v>
      </c>
      <c r="K200" s="170" t="s">
        <v>645</v>
      </c>
    </row>
    <row r="201" spans="6:11" ht="17.5" x14ac:dyDescent="0.35">
      <c r="F201" s="170">
        <v>199</v>
      </c>
      <c r="G201" s="172" t="s">
        <v>343</v>
      </c>
      <c r="H201" s="170" t="s">
        <v>351</v>
      </c>
      <c r="I201" s="173" t="s">
        <v>351</v>
      </c>
      <c r="J201" s="170" t="str">
        <f t="shared" si="3"/>
        <v>oneninenine</v>
      </c>
      <c r="K201" s="170" t="s">
        <v>646</v>
      </c>
    </row>
    <row r="202" spans="6:11" ht="17.5" x14ac:dyDescent="0.35">
      <c r="F202" s="170">
        <v>200</v>
      </c>
      <c r="G202" s="170" t="s">
        <v>335</v>
      </c>
      <c r="H202" s="170" t="s">
        <v>465</v>
      </c>
      <c r="I202" s="177" t="s">
        <v>465</v>
      </c>
      <c r="J202" s="170" t="str">
        <f t="shared" si="3"/>
        <v>Twozerozero</v>
      </c>
      <c r="K202" s="170" t="s">
        <v>647</v>
      </c>
    </row>
    <row r="203" spans="6:11" ht="17.5" x14ac:dyDescent="0.35">
      <c r="F203" s="170">
        <v>201</v>
      </c>
      <c r="G203" s="170" t="s">
        <v>335</v>
      </c>
      <c r="H203" s="170" t="s">
        <v>465</v>
      </c>
      <c r="I203" s="172" t="s">
        <v>343</v>
      </c>
      <c r="J203" s="170" t="str">
        <f t="shared" si="3"/>
        <v>Twozeroone</v>
      </c>
      <c r="K203" s="170" t="s">
        <v>648</v>
      </c>
    </row>
    <row r="204" spans="6:11" ht="17.5" x14ac:dyDescent="0.35">
      <c r="F204" s="170">
        <v>202</v>
      </c>
      <c r="G204" s="170" t="s">
        <v>335</v>
      </c>
      <c r="H204" s="170" t="s">
        <v>465</v>
      </c>
      <c r="I204" s="172" t="s">
        <v>344</v>
      </c>
      <c r="J204" s="170" t="str">
        <f t="shared" si="3"/>
        <v>Twozerotwo</v>
      </c>
      <c r="K204" s="170" t="s">
        <v>649</v>
      </c>
    </row>
    <row r="205" spans="6:11" ht="17.5" x14ac:dyDescent="0.35">
      <c r="F205" s="170">
        <v>203</v>
      </c>
      <c r="G205" s="170" t="s">
        <v>335</v>
      </c>
      <c r="H205" s="170" t="s">
        <v>465</v>
      </c>
      <c r="I205" s="172" t="s">
        <v>345</v>
      </c>
      <c r="J205" s="170" t="str">
        <f t="shared" si="3"/>
        <v>Twozerothree</v>
      </c>
      <c r="K205" s="170" t="s">
        <v>650</v>
      </c>
    </row>
    <row r="206" spans="6:11" ht="17.5" x14ac:dyDescent="0.35">
      <c r="F206" s="170">
        <v>204</v>
      </c>
      <c r="G206" s="170" t="s">
        <v>335</v>
      </c>
      <c r="H206" s="170" t="s">
        <v>465</v>
      </c>
      <c r="I206" s="173" t="s">
        <v>346</v>
      </c>
      <c r="J206" s="170" t="str">
        <f t="shared" si="3"/>
        <v>Twozerofour</v>
      </c>
      <c r="K206" s="170" t="s">
        <v>651</v>
      </c>
    </row>
    <row r="207" spans="6:11" ht="17.5" x14ac:dyDescent="0.35">
      <c r="F207" s="170">
        <v>205</v>
      </c>
      <c r="G207" s="170" t="s">
        <v>335</v>
      </c>
      <c r="H207" s="170" t="s">
        <v>465</v>
      </c>
      <c r="I207" s="173" t="s">
        <v>347</v>
      </c>
      <c r="J207" s="170" t="str">
        <f t="shared" si="3"/>
        <v>Twozerofive</v>
      </c>
      <c r="K207" s="170" t="s">
        <v>652</v>
      </c>
    </row>
    <row r="208" spans="6:11" ht="17.5" x14ac:dyDescent="0.35">
      <c r="F208" s="170">
        <v>206</v>
      </c>
      <c r="G208" s="170" t="s">
        <v>335</v>
      </c>
      <c r="H208" s="170" t="s">
        <v>465</v>
      </c>
      <c r="I208" s="173" t="s">
        <v>348</v>
      </c>
      <c r="J208" s="170" t="str">
        <f t="shared" si="3"/>
        <v>Twozerosix</v>
      </c>
      <c r="K208" s="170" t="s">
        <v>653</v>
      </c>
    </row>
    <row r="209" spans="6:11" ht="17.5" x14ac:dyDescent="0.35">
      <c r="F209" s="170">
        <v>207</v>
      </c>
      <c r="G209" s="170" t="s">
        <v>335</v>
      </c>
      <c r="H209" s="170" t="s">
        <v>465</v>
      </c>
      <c r="I209" s="173" t="s">
        <v>349</v>
      </c>
      <c r="J209" s="170" t="str">
        <f t="shared" si="3"/>
        <v>Twozeroseven</v>
      </c>
      <c r="K209" s="170" t="s">
        <v>654</v>
      </c>
    </row>
    <row r="210" spans="6:11" ht="17.5" x14ac:dyDescent="0.35">
      <c r="F210" s="170">
        <v>208</v>
      </c>
      <c r="G210" s="170" t="s">
        <v>335</v>
      </c>
      <c r="H210" s="170" t="s">
        <v>465</v>
      </c>
      <c r="I210" s="173" t="s">
        <v>350</v>
      </c>
      <c r="J210" s="170" t="str">
        <f t="shared" si="3"/>
        <v>Twozeroeight</v>
      </c>
      <c r="K210" s="170" t="s">
        <v>655</v>
      </c>
    </row>
    <row r="211" spans="6:11" ht="17.5" x14ac:dyDescent="0.35">
      <c r="F211" s="170">
        <v>209</v>
      </c>
      <c r="G211" s="170" t="s">
        <v>335</v>
      </c>
      <c r="H211" s="170" t="s">
        <v>465</v>
      </c>
      <c r="I211" s="173" t="s">
        <v>351</v>
      </c>
      <c r="J211" s="170" t="str">
        <f t="shared" si="3"/>
        <v>Twozeronine</v>
      </c>
      <c r="K211" s="170" t="s">
        <v>656</v>
      </c>
    </row>
    <row r="212" spans="6:11" ht="17.5" x14ac:dyDescent="0.35">
      <c r="F212" s="170">
        <v>210</v>
      </c>
      <c r="G212" s="170" t="s">
        <v>335</v>
      </c>
      <c r="H212" s="172" t="s">
        <v>343</v>
      </c>
      <c r="I212" s="170" t="s">
        <v>465</v>
      </c>
      <c r="J212" s="170" t="str">
        <f t="shared" si="3"/>
        <v>Twoonezero</v>
      </c>
      <c r="K212" s="170" t="s">
        <v>657</v>
      </c>
    </row>
    <row r="213" spans="6:11" ht="17.5" x14ac:dyDescent="0.35">
      <c r="F213" s="170">
        <v>211</v>
      </c>
      <c r="G213" s="170" t="s">
        <v>335</v>
      </c>
      <c r="H213" s="172" t="s">
        <v>343</v>
      </c>
      <c r="I213" s="172" t="s">
        <v>343</v>
      </c>
      <c r="J213" s="170" t="str">
        <f t="shared" si="3"/>
        <v>Twooneone</v>
      </c>
      <c r="K213" s="170" t="s">
        <v>658</v>
      </c>
    </row>
    <row r="214" spans="6:11" ht="17.5" x14ac:dyDescent="0.35">
      <c r="F214" s="170">
        <v>212</v>
      </c>
      <c r="G214" s="170" t="s">
        <v>335</v>
      </c>
      <c r="H214" s="172" t="s">
        <v>343</v>
      </c>
      <c r="I214" s="172" t="s">
        <v>344</v>
      </c>
      <c r="J214" s="170" t="str">
        <f t="shared" si="3"/>
        <v>Twoonetwo</v>
      </c>
      <c r="K214" s="170" t="s">
        <v>659</v>
      </c>
    </row>
    <row r="215" spans="6:11" ht="17.5" x14ac:dyDescent="0.35">
      <c r="F215" s="170">
        <v>213</v>
      </c>
      <c r="G215" s="170" t="s">
        <v>335</v>
      </c>
      <c r="H215" s="172" t="s">
        <v>343</v>
      </c>
      <c r="I215" s="172" t="s">
        <v>345</v>
      </c>
      <c r="J215" s="170" t="str">
        <f t="shared" si="3"/>
        <v>Twoonethree</v>
      </c>
      <c r="K215" s="170" t="s">
        <v>660</v>
      </c>
    </row>
    <row r="216" spans="6:11" ht="17.5" x14ac:dyDescent="0.35">
      <c r="F216" s="170">
        <v>214</v>
      </c>
      <c r="G216" s="170" t="s">
        <v>335</v>
      </c>
      <c r="H216" s="172" t="s">
        <v>343</v>
      </c>
      <c r="I216" s="173" t="s">
        <v>346</v>
      </c>
      <c r="J216" s="170" t="str">
        <f t="shared" si="3"/>
        <v>Twoonefour</v>
      </c>
      <c r="K216" s="170" t="s">
        <v>661</v>
      </c>
    </row>
    <row r="217" spans="6:11" ht="17.5" x14ac:dyDescent="0.35">
      <c r="F217" s="170">
        <v>215</v>
      </c>
      <c r="G217" s="170" t="s">
        <v>335</v>
      </c>
      <c r="H217" s="172" t="s">
        <v>343</v>
      </c>
      <c r="I217" s="173" t="s">
        <v>347</v>
      </c>
      <c r="J217" s="170" t="str">
        <f t="shared" si="3"/>
        <v>Twoonefive</v>
      </c>
      <c r="K217" s="170" t="s">
        <v>662</v>
      </c>
    </row>
    <row r="218" spans="6:11" ht="17.5" x14ac:dyDescent="0.35">
      <c r="F218" s="170">
        <v>216</v>
      </c>
      <c r="G218" s="170" t="s">
        <v>335</v>
      </c>
      <c r="H218" s="172" t="s">
        <v>343</v>
      </c>
      <c r="I218" s="173" t="s">
        <v>348</v>
      </c>
      <c r="J218" s="170" t="str">
        <f t="shared" si="3"/>
        <v>Twoonesix</v>
      </c>
      <c r="K218" s="170" t="s">
        <v>663</v>
      </c>
    </row>
    <row r="219" spans="6:11" ht="17.5" x14ac:dyDescent="0.35">
      <c r="F219" s="170">
        <v>217</v>
      </c>
      <c r="G219" s="170" t="s">
        <v>335</v>
      </c>
      <c r="H219" s="172" t="s">
        <v>343</v>
      </c>
      <c r="I219" s="173" t="s">
        <v>349</v>
      </c>
      <c r="J219" s="170" t="str">
        <f t="shared" si="3"/>
        <v>Twooneseven</v>
      </c>
      <c r="K219" s="170" t="s">
        <v>664</v>
      </c>
    </row>
    <row r="220" spans="6:11" ht="17.5" x14ac:dyDescent="0.35">
      <c r="F220" s="170">
        <v>218</v>
      </c>
      <c r="G220" s="170" t="s">
        <v>335</v>
      </c>
      <c r="H220" s="172" t="s">
        <v>343</v>
      </c>
      <c r="I220" s="173" t="s">
        <v>350</v>
      </c>
      <c r="J220" s="170" t="str">
        <f t="shared" si="3"/>
        <v>Twooneeight</v>
      </c>
      <c r="K220" s="170" t="s">
        <v>665</v>
      </c>
    </row>
    <row r="221" spans="6:11" ht="17.5" x14ac:dyDescent="0.35">
      <c r="F221" s="170">
        <v>219</v>
      </c>
      <c r="G221" s="170" t="s">
        <v>335</v>
      </c>
      <c r="H221" s="172" t="s">
        <v>343</v>
      </c>
      <c r="I221" s="173" t="s">
        <v>351</v>
      </c>
      <c r="J221" s="170" t="str">
        <f t="shared" si="3"/>
        <v>Twoonenine</v>
      </c>
      <c r="K221" s="170" t="s">
        <v>666</v>
      </c>
    </row>
    <row r="222" spans="6:11" x14ac:dyDescent="0.35">
      <c r="F222" s="170">
        <v>220</v>
      </c>
      <c r="G222" s="170" t="s">
        <v>335</v>
      </c>
      <c r="H222" s="170" t="s">
        <v>344</v>
      </c>
      <c r="I222" s="170" t="s">
        <v>465</v>
      </c>
      <c r="J222" s="170" t="str">
        <f t="shared" si="3"/>
        <v>Twotwozero</v>
      </c>
      <c r="K222" s="170" t="s">
        <v>667</v>
      </c>
    </row>
    <row r="223" spans="6:11" ht="17.5" x14ac:dyDescent="0.35">
      <c r="F223" s="170">
        <v>221</v>
      </c>
      <c r="G223" s="170" t="s">
        <v>335</v>
      </c>
      <c r="H223" s="170" t="s">
        <v>344</v>
      </c>
      <c r="I223" s="172" t="s">
        <v>343</v>
      </c>
      <c r="J223" s="170" t="str">
        <f t="shared" si="3"/>
        <v>Twotwoone</v>
      </c>
      <c r="K223" s="170" t="s">
        <v>668</v>
      </c>
    </row>
    <row r="224" spans="6:11" ht="17.5" x14ac:dyDescent="0.35">
      <c r="F224" s="170">
        <v>222</v>
      </c>
      <c r="G224" s="170" t="s">
        <v>335</v>
      </c>
      <c r="H224" s="170" t="s">
        <v>344</v>
      </c>
      <c r="I224" s="172" t="s">
        <v>344</v>
      </c>
      <c r="J224" s="170" t="str">
        <f t="shared" si="3"/>
        <v>Twotwotwo</v>
      </c>
      <c r="K224" s="170" t="s">
        <v>669</v>
      </c>
    </row>
    <row r="225" spans="6:11" ht="17.5" x14ac:dyDescent="0.35">
      <c r="F225" s="170">
        <v>223</v>
      </c>
      <c r="G225" s="170" t="s">
        <v>335</v>
      </c>
      <c r="H225" s="170" t="s">
        <v>344</v>
      </c>
      <c r="I225" s="172" t="s">
        <v>345</v>
      </c>
      <c r="J225" s="170" t="str">
        <f t="shared" si="3"/>
        <v>Twotwothree</v>
      </c>
      <c r="K225" s="170" t="s">
        <v>670</v>
      </c>
    </row>
    <row r="226" spans="6:11" ht="17.5" x14ac:dyDescent="0.35">
      <c r="F226" s="170">
        <v>224</v>
      </c>
      <c r="G226" s="170" t="s">
        <v>335</v>
      </c>
      <c r="H226" s="170" t="s">
        <v>344</v>
      </c>
      <c r="I226" s="173" t="s">
        <v>346</v>
      </c>
      <c r="J226" s="170" t="str">
        <f t="shared" si="3"/>
        <v>Twotwofour</v>
      </c>
      <c r="K226" s="170" t="s">
        <v>671</v>
      </c>
    </row>
    <row r="227" spans="6:11" ht="17.5" x14ac:dyDescent="0.35">
      <c r="F227" s="170">
        <v>225</v>
      </c>
      <c r="G227" s="170" t="s">
        <v>335</v>
      </c>
      <c r="H227" s="170" t="s">
        <v>344</v>
      </c>
      <c r="I227" s="173" t="s">
        <v>347</v>
      </c>
      <c r="J227" s="170" t="str">
        <f t="shared" si="3"/>
        <v>Twotwofive</v>
      </c>
      <c r="K227" s="170" t="s">
        <v>672</v>
      </c>
    </row>
    <row r="228" spans="6:11" ht="17.5" x14ac:dyDescent="0.35">
      <c r="F228" s="170">
        <v>226</v>
      </c>
      <c r="G228" s="170" t="s">
        <v>335</v>
      </c>
      <c r="H228" s="170" t="s">
        <v>344</v>
      </c>
      <c r="I228" s="173" t="s">
        <v>348</v>
      </c>
      <c r="J228" s="170" t="str">
        <f t="shared" si="3"/>
        <v>Twotwosix</v>
      </c>
      <c r="K228" s="170" t="s">
        <v>673</v>
      </c>
    </row>
    <row r="229" spans="6:11" ht="17.5" x14ac:dyDescent="0.35">
      <c r="F229" s="170">
        <v>227</v>
      </c>
      <c r="G229" s="170" t="s">
        <v>335</v>
      </c>
      <c r="H229" s="170" t="s">
        <v>344</v>
      </c>
      <c r="I229" s="173" t="s">
        <v>349</v>
      </c>
      <c r="J229" s="170" t="str">
        <f t="shared" si="3"/>
        <v>Twotwoseven</v>
      </c>
      <c r="K229" s="170" t="s">
        <v>674</v>
      </c>
    </row>
    <row r="230" spans="6:11" ht="17.5" x14ac:dyDescent="0.35">
      <c r="F230" s="170">
        <v>228</v>
      </c>
      <c r="G230" s="170" t="s">
        <v>335</v>
      </c>
      <c r="H230" s="170" t="s">
        <v>344</v>
      </c>
      <c r="I230" s="173" t="s">
        <v>350</v>
      </c>
      <c r="J230" s="170" t="str">
        <f t="shared" ref="J230:J293" si="4">G230&amp;H230&amp;I230</f>
        <v>Twotwoeight</v>
      </c>
      <c r="K230" s="170" t="s">
        <v>675</v>
      </c>
    </row>
    <row r="231" spans="6:11" ht="17.5" x14ac:dyDescent="0.35">
      <c r="F231" s="170">
        <v>229</v>
      </c>
      <c r="G231" s="170" t="s">
        <v>335</v>
      </c>
      <c r="H231" s="170" t="s">
        <v>344</v>
      </c>
      <c r="I231" s="173" t="s">
        <v>351</v>
      </c>
      <c r="J231" s="170" t="str">
        <f t="shared" si="4"/>
        <v>Twotwonine</v>
      </c>
      <c r="K231" s="170" t="s">
        <v>676</v>
      </c>
    </row>
    <row r="232" spans="6:11" ht="17.5" x14ac:dyDescent="0.35">
      <c r="F232" s="170">
        <v>230</v>
      </c>
      <c r="G232" s="170" t="s">
        <v>335</v>
      </c>
      <c r="H232" s="170" t="s">
        <v>345</v>
      </c>
      <c r="I232" s="177" t="s">
        <v>465</v>
      </c>
      <c r="J232" s="170" t="str">
        <f t="shared" si="4"/>
        <v>Twothreezero</v>
      </c>
      <c r="K232" s="170" t="s">
        <v>677</v>
      </c>
    </row>
    <row r="233" spans="6:11" ht="17.5" x14ac:dyDescent="0.35">
      <c r="F233" s="170">
        <v>231</v>
      </c>
      <c r="G233" s="170" t="s">
        <v>335</v>
      </c>
      <c r="H233" s="170" t="s">
        <v>345</v>
      </c>
      <c r="I233" s="172" t="s">
        <v>343</v>
      </c>
      <c r="J233" s="170" t="str">
        <f t="shared" si="4"/>
        <v>Twothreeone</v>
      </c>
      <c r="K233" s="170" t="s">
        <v>678</v>
      </c>
    </row>
    <row r="234" spans="6:11" ht="17.5" x14ac:dyDescent="0.35">
      <c r="F234" s="170">
        <v>232</v>
      </c>
      <c r="G234" s="170" t="s">
        <v>335</v>
      </c>
      <c r="H234" s="170" t="s">
        <v>345</v>
      </c>
      <c r="I234" s="172" t="s">
        <v>344</v>
      </c>
      <c r="J234" s="170" t="str">
        <f t="shared" si="4"/>
        <v>Twothreetwo</v>
      </c>
      <c r="K234" s="170" t="s">
        <v>679</v>
      </c>
    </row>
    <row r="235" spans="6:11" ht="17.5" x14ac:dyDescent="0.35">
      <c r="F235" s="170">
        <v>233</v>
      </c>
      <c r="G235" s="170" t="s">
        <v>335</v>
      </c>
      <c r="H235" s="170" t="s">
        <v>345</v>
      </c>
      <c r="I235" s="172" t="s">
        <v>345</v>
      </c>
      <c r="J235" s="170" t="str">
        <f t="shared" si="4"/>
        <v>Twothreethree</v>
      </c>
      <c r="K235" s="170" t="s">
        <v>680</v>
      </c>
    </row>
    <row r="236" spans="6:11" ht="17.5" x14ac:dyDescent="0.35">
      <c r="F236" s="170">
        <v>234</v>
      </c>
      <c r="G236" s="170" t="s">
        <v>335</v>
      </c>
      <c r="H236" s="170" t="s">
        <v>345</v>
      </c>
      <c r="I236" s="173" t="s">
        <v>346</v>
      </c>
      <c r="J236" s="170" t="str">
        <f t="shared" si="4"/>
        <v>Twothreefour</v>
      </c>
      <c r="K236" s="170" t="s">
        <v>681</v>
      </c>
    </row>
    <row r="237" spans="6:11" ht="17.5" x14ac:dyDescent="0.35">
      <c r="F237" s="170">
        <v>235</v>
      </c>
      <c r="G237" s="170" t="s">
        <v>335</v>
      </c>
      <c r="H237" s="170" t="s">
        <v>345</v>
      </c>
      <c r="I237" s="173" t="s">
        <v>347</v>
      </c>
      <c r="J237" s="170" t="str">
        <f t="shared" si="4"/>
        <v>Twothreefive</v>
      </c>
      <c r="K237" s="170" t="s">
        <v>682</v>
      </c>
    </row>
    <row r="238" spans="6:11" ht="17.5" x14ac:dyDescent="0.35">
      <c r="F238" s="170">
        <v>236</v>
      </c>
      <c r="G238" s="170" t="s">
        <v>335</v>
      </c>
      <c r="H238" s="170" t="s">
        <v>345</v>
      </c>
      <c r="I238" s="173" t="s">
        <v>348</v>
      </c>
      <c r="J238" s="170" t="str">
        <f t="shared" si="4"/>
        <v>Twothreesix</v>
      </c>
      <c r="K238" s="170" t="s">
        <v>683</v>
      </c>
    </row>
    <row r="239" spans="6:11" ht="17.5" x14ac:dyDescent="0.35">
      <c r="F239" s="170">
        <v>237</v>
      </c>
      <c r="G239" s="170" t="s">
        <v>335</v>
      </c>
      <c r="H239" s="170" t="s">
        <v>345</v>
      </c>
      <c r="I239" s="173" t="s">
        <v>349</v>
      </c>
      <c r="J239" s="170" t="str">
        <f t="shared" si="4"/>
        <v>Twothreeseven</v>
      </c>
      <c r="K239" s="170" t="s">
        <v>684</v>
      </c>
    </row>
    <row r="240" spans="6:11" ht="17.5" x14ac:dyDescent="0.35">
      <c r="F240" s="170">
        <v>238</v>
      </c>
      <c r="G240" s="170" t="s">
        <v>335</v>
      </c>
      <c r="H240" s="170" t="s">
        <v>345</v>
      </c>
      <c r="I240" s="173" t="s">
        <v>350</v>
      </c>
      <c r="J240" s="170" t="str">
        <f t="shared" si="4"/>
        <v>Twothreeeight</v>
      </c>
      <c r="K240" s="170" t="s">
        <v>685</v>
      </c>
    </row>
    <row r="241" spans="6:11" ht="17.5" x14ac:dyDescent="0.35">
      <c r="F241" s="170">
        <v>239</v>
      </c>
      <c r="G241" s="170" t="s">
        <v>335</v>
      </c>
      <c r="H241" s="170" t="s">
        <v>345</v>
      </c>
      <c r="I241" s="173" t="s">
        <v>351</v>
      </c>
      <c r="J241" s="170" t="str">
        <f t="shared" si="4"/>
        <v>Twothreenine</v>
      </c>
      <c r="K241" s="170" t="s">
        <v>686</v>
      </c>
    </row>
    <row r="242" spans="6:11" ht="17.5" x14ac:dyDescent="0.35">
      <c r="F242" s="170">
        <v>240</v>
      </c>
      <c r="G242" s="170" t="s">
        <v>335</v>
      </c>
      <c r="H242" s="170" t="s">
        <v>346</v>
      </c>
      <c r="I242" s="177" t="s">
        <v>465</v>
      </c>
      <c r="J242" s="170" t="str">
        <f t="shared" si="4"/>
        <v>Twofourzero</v>
      </c>
      <c r="K242" s="170" t="s">
        <v>687</v>
      </c>
    </row>
    <row r="243" spans="6:11" ht="17.5" x14ac:dyDescent="0.35">
      <c r="F243" s="170">
        <v>241</v>
      </c>
      <c r="G243" s="170" t="s">
        <v>335</v>
      </c>
      <c r="H243" s="170" t="s">
        <v>346</v>
      </c>
      <c r="I243" s="172" t="s">
        <v>343</v>
      </c>
      <c r="J243" s="170" t="str">
        <f t="shared" si="4"/>
        <v>Twofourone</v>
      </c>
      <c r="K243" s="170" t="s">
        <v>688</v>
      </c>
    </row>
    <row r="244" spans="6:11" ht="17.5" x14ac:dyDescent="0.35">
      <c r="F244" s="170">
        <v>242</v>
      </c>
      <c r="G244" s="170" t="s">
        <v>335</v>
      </c>
      <c r="H244" s="170" t="s">
        <v>346</v>
      </c>
      <c r="I244" s="172" t="s">
        <v>344</v>
      </c>
      <c r="J244" s="170" t="str">
        <f t="shared" si="4"/>
        <v>Twofourtwo</v>
      </c>
      <c r="K244" s="170" t="s">
        <v>689</v>
      </c>
    </row>
    <row r="245" spans="6:11" ht="17.5" x14ac:dyDescent="0.35">
      <c r="F245" s="170">
        <v>243</v>
      </c>
      <c r="G245" s="170" t="s">
        <v>335</v>
      </c>
      <c r="H245" s="170" t="s">
        <v>346</v>
      </c>
      <c r="I245" s="172" t="s">
        <v>345</v>
      </c>
      <c r="J245" s="170" t="str">
        <f t="shared" si="4"/>
        <v>Twofourthree</v>
      </c>
      <c r="K245" s="170" t="s">
        <v>690</v>
      </c>
    </row>
    <row r="246" spans="6:11" ht="17.5" x14ac:dyDescent="0.35">
      <c r="F246" s="170">
        <v>244</v>
      </c>
      <c r="G246" s="170" t="s">
        <v>335</v>
      </c>
      <c r="H246" s="170" t="s">
        <v>346</v>
      </c>
      <c r="I246" s="173" t="s">
        <v>346</v>
      </c>
      <c r="J246" s="170" t="str">
        <f t="shared" si="4"/>
        <v>Twofourfour</v>
      </c>
      <c r="K246" s="170" t="s">
        <v>691</v>
      </c>
    </row>
    <row r="247" spans="6:11" ht="17.5" x14ac:dyDescent="0.35">
      <c r="F247" s="170">
        <v>245</v>
      </c>
      <c r="G247" s="170" t="s">
        <v>335</v>
      </c>
      <c r="H247" s="170" t="s">
        <v>346</v>
      </c>
      <c r="I247" s="173" t="s">
        <v>347</v>
      </c>
      <c r="J247" s="170" t="str">
        <f t="shared" si="4"/>
        <v>Twofourfive</v>
      </c>
      <c r="K247" s="170" t="s">
        <v>692</v>
      </c>
    </row>
    <row r="248" spans="6:11" ht="17.5" x14ac:dyDescent="0.35">
      <c r="F248" s="170">
        <v>246</v>
      </c>
      <c r="G248" s="170" t="s">
        <v>335</v>
      </c>
      <c r="H248" s="170" t="s">
        <v>346</v>
      </c>
      <c r="I248" s="173" t="s">
        <v>348</v>
      </c>
      <c r="J248" s="170" t="str">
        <f t="shared" si="4"/>
        <v>Twofoursix</v>
      </c>
      <c r="K248" s="170" t="s">
        <v>693</v>
      </c>
    </row>
    <row r="249" spans="6:11" ht="17.5" x14ac:dyDescent="0.35">
      <c r="F249" s="170">
        <v>247</v>
      </c>
      <c r="G249" s="170" t="s">
        <v>335</v>
      </c>
      <c r="H249" s="170" t="s">
        <v>346</v>
      </c>
      <c r="I249" s="173" t="s">
        <v>349</v>
      </c>
      <c r="J249" s="170" t="str">
        <f t="shared" si="4"/>
        <v>Twofourseven</v>
      </c>
      <c r="K249" s="170" t="s">
        <v>694</v>
      </c>
    </row>
    <row r="250" spans="6:11" ht="17.5" x14ac:dyDescent="0.35">
      <c r="F250" s="170">
        <v>248</v>
      </c>
      <c r="G250" s="170" t="s">
        <v>335</v>
      </c>
      <c r="H250" s="170" t="s">
        <v>346</v>
      </c>
      <c r="I250" s="173" t="s">
        <v>350</v>
      </c>
      <c r="J250" s="170" t="str">
        <f t="shared" si="4"/>
        <v>Twofoureight</v>
      </c>
      <c r="K250" s="170" t="s">
        <v>695</v>
      </c>
    </row>
    <row r="251" spans="6:11" ht="17.5" x14ac:dyDescent="0.35">
      <c r="F251" s="170">
        <v>249</v>
      </c>
      <c r="G251" s="170" t="s">
        <v>335</v>
      </c>
      <c r="H251" s="170" t="s">
        <v>346</v>
      </c>
      <c r="I251" s="173" t="s">
        <v>351</v>
      </c>
      <c r="J251" s="170" t="str">
        <f t="shared" si="4"/>
        <v>Twofournine</v>
      </c>
      <c r="K251" s="170" t="s">
        <v>696</v>
      </c>
    </row>
    <row r="252" spans="6:11" x14ac:dyDescent="0.35">
      <c r="F252" s="170">
        <v>250</v>
      </c>
      <c r="G252" s="170" t="s">
        <v>335</v>
      </c>
      <c r="H252" s="170" t="s">
        <v>347</v>
      </c>
      <c r="I252" s="170" t="s">
        <v>465</v>
      </c>
      <c r="J252" s="170" t="str">
        <f t="shared" si="4"/>
        <v>Twofivezero</v>
      </c>
      <c r="K252" s="170" t="s">
        <v>697</v>
      </c>
    </row>
    <row r="253" spans="6:11" ht="17.5" x14ac:dyDescent="0.35">
      <c r="F253" s="170">
        <v>251</v>
      </c>
      <c r="G253" s="170" t="s">
        <v>335</v>
      </c>
      <c r="H253" s="170" t="s">
        <v>347</v>
      </c>
      <c r="I253" s="172" t="s">
        <v>343</v>
      </c>
      <c r="J253" s="170" t="str">
        <f t="shared" si="4"/>
        <v>Twofiveone</v>
      </c>
      <c r="K253" s="170" t="s">
        <v>698</v>
      </c>
    </row>
    <row r="254" spans="6:11" ht="17.5" x14ac:dyDescent="0.35">
      <c r="F254" s="170">
        <v>252</v>
      </c>
      <c r="G254" s="170" t="s">
        <v>335</v>
      </c>
      <c r="H254" s="170" t="s">
        <v>347</v>
      </c>
      <c r="I254" s="172" t="s">
        <v>344</v>
      </c>
      <c r="J254" s="170" t="str">
        <f t="shared" si="4"/>
        <v>Twofivetwo</v>
      </c>
      <c r="K254" s="170" t="s">
        <v>699</v>
      </c>
    </row>
    <row r="255" spans="6:11" ht="17.5" x14ac:dyDescent="0.35">
      <c r="F255" s="170">
        <v>253</v>
      </c>
      <c r="G255" s="170" t="s">
        <v>335</v>
      </c>
      <c r="H255" s="170" t="s">
        <v>347</v>
      </c>
      <c r="I255" s="172" t="s">
        <v>345</v>
      </c>
      <c r="J255" s="170" t="str">
        <f t="shared" si="4"/>
        <v>Twofivethree</v>
      </c>
      <c r="K255" s="170" t="s">
        <v>700</v>
      </c>
    </row>
    <row r="256" spans="6:11" ht="17.5" x14ac:dyDescent="0.35">
      <c r="F256" s="170">
        <v>254</v>
      </c>
      <c r="G256" s="170" t="s">
        <v>335</v>
      </c>
      <c r="H256" s="170" t="s">
        <v>347</v>
      </c>
      <c r="I256" s="173" t="s">
        <v>346</v>
      </c>
      <c r="J256" s="170" t="str">
        <f t="shared" si="4"/>
        <v>Twofivefour</v>
      </c>
      <c r="K256" s="170" t="s">
        <v>701</v>
      </c>
    </row>
    <row r="257" spans="6:11" ht="17.5" x14ac:dyDescent="0.35">
      <c r="F257" s="170">
        <v>255</v>
      </c>
      <c r="G257" s="170" t="s">
        <v>335</v>
      </c>
      <c r="H257" s="170" t="s">
        <v>347</v>
      </c>
      <c r="I257" s="173" t="s">
        <v>347</v>
      </c>
      <c r="J257" s="170" t="str">
        <f t="shared" si="4"/>
        <v>Twofivefive</v>
      </c>
      <c r="K257" s="170" t="s">
        <v>702</v>
      </c>
    </row>
    <row r="258" spans="6:11" ht="17.5" x14ac:dyDescent="0.35">
      <c r="F258" s="170">
        <v>256</v>
      </c>
      <c r="G258" s="170" t="s">
        <v>335</v>
      </c>
      <c r="H258" s="170" t="s">
        <v>347</v>
      </c>
      <c r="I258" s="173" t="s">
        <v>348</v>
      </c>
      <c r="J258" s="170" t="str">
        <f t="shared" si="4"/>
        <v>Twofivesix</v>
      </c>
      <c r="K258" s="170" t="s">
        <v>703</v>
      </c>
    </row>
    <row r="259" spans="6:11" ht="17.5" x14ac:dyDescent="0.35">
      <c r="F259" s="170">
        <v>257</v>
      </c>
      <c r="G259" s="170" t="s">
        <v>335</v>
      </c>
      <c r="H259" s="170" t="s">
        <v>347</v>
      </c>
      <c r="I259" s="173" t="s">
        <v>349</v>
      </c>
      <c r="J259" s="170" t="str">
        <f t="shared" si="4"/>
        <v>Twofiveseven</v>
      </c>
      <c r="K259" s="170" t="s">
        <v>704</v>
      </c>
    </row>
    <row r="260" spans="6:11" ht="17.5" x14ac:dyDescent="0.35">
      <c r="F260" s="170">
        <v>258</v>
      </c>
      <c r="G260" s="170" t="s">
        <v>335</v>
      </c>
      <c r="H260" s="170" t="s">
        <v>347</v>
      </c>
      <c r="I260" s="173" t="s">
        <v>350</v>
      </c>
      <c r="J260" s="170" t="str">
        <f t="shared" si="4"/>
        <v>Twofiveeight</v>
      </c>
      <c r="K260" s="170" t="s">
        <v>705</v>
      </c>
    </row>
    <row r="261" spans="6:11" ht="17.5" x14ac:dyDescent="0.35">
      <c r="F261" s="170">
        <v>259</v>
      </c>
      <c r="G261" s="170" t="s">
        <v>335</v>
      </c>
      <c r="H261" s="170" t="s">
        <v>347</v>
      </c>
      <c r="I261" s="173" t="s">
        <v>351</v>
      </c>
      <c r="J261" s="170" t="str">
        <f t="shared" si="4"/>
        <v>Twofivenine</v>
      </c>
      <c r="K261" s="170" t="s">
        <v>706</v>
      </c>
    </row>
    <row r="262" spans="6:11" x14ac:dyDescent="0.35">
      <c r="F262" s="170">
        <v>260</v>
      </c>
      <c r="G262" s="170" t="s">
        <v>335</v>
      </c>
      <c r="H262" s="170" t="s">
        <v>348</v>
      </c>
      <c r="I262" s="170" t="s">
        <v>465</v>
      </c>
      <c r="J262" s="170" t="str">
        <f t="shared" si="4"/>
        <v>Twosixzero</v>
      </c>
      <c r="K262" s="170" t="s">
        <v>707</v>
      </c>
    </row>
    <row r="263" spans="6:11" ht="17.5" x14ac:dyDescent="0.35">
      <c r="F263" s="170">
        <v>261</v>
      </c>
      <c r="G263" s="170" t="s">
        <v>335</v>
      </c>
      <c r="H263" s="170" t="s">
        <v>348</v>
      </c>
      <c r="I263" s="172" t="s">
        <v>343</v>
      </c>
      <c r="J263" s="170" t="str">
        <f t="shared" si="4"/>
        <v>Twosixone</v>
      </c>
      <c r="K263" s="170" t="s">
        <v>708</v>
      </c>
    </row>
    <row r="264" spans="6:11" ht="17.5" x14ac:dyDescent="0.35">
      <c r="F264" s="170">
        <v>262</v>
      </c>
      <c r="G264" s="170" t="s">
        <v>335</v>
      </c>
      <c r="H264" s="170" t="s">
        <v>348</v>
      </c>
      <c r="I264" s="172" t="s">
        <v>344</v>
      </c>
      <c r="J264" s="170" t="str">
        <f t="shared" si="4"/>
        <v>Twosixtwo</v>
      </c>
      <c r="K264" s="170" t="s">
        <v>709</v>
      </c>
    </row>
    <row r="265" spans="6:11" ht="17.5" x14ac:dyDescent="0.35">
      <c r="F265" s="170">
        <v>263</v>
      </c>
      <c r="G265" s="170" t="s">
        <v>335</v>
      </c>
      <c r="H265" s="170" t="s">
        <v>348</v>
      </c>
      <c r="I265" s="172" t="s">
        <v>345</v>
      </c>
      <c r="J265" s="170" t="str">
        <f t="shared" si="4"/>
        <v>Twosixthree</v>
      </c>
      <c r="K265" s="170" t="s">
        <v>710</v>
      </c>
    </row>
    <row r="266" spans="6:11" ht="17.5" x14ac:dyDescent="0.35">
      <c r="F266" s="170">
        <v>264</v>
      </c>
      <c r="G266" s="170" t="s">
        <v>335</v>
      </c>
      <c r="H266" s="170" t="s">
        <v>348</v>
      </c>
      <c r="I266" s="173" t="s">
        <v>346</v>
      </c>
      <c r="J266" s="170" t="str">
        <f t="shared" si="4"/>
        <v>Twosixfour</v>
      </c>
      <c r="K266" s="170" t="s">
        <v>711</v>
      </c>
    </row>
    <row r="267" spans="6:11" ht="17.5" x14ac:dyDescent="0.35">
      <c r="F267" s="170">
        <v>265</v>
      </c>
      <c r="G267" s="170" t="s">
        <v>335</v>
      </c>
      <c r="H267" s="170" t="s">
        <v>348</v>
      </c>
      <c r="I267" s="173" t="s">
        <v>347</v>
      </c>
      <c r="J267" s="170" t="str">
        <f t="shared" si="4"/>
        <v>Twosixfive</v>
      </c>
      <c r="K267" s="170" t="s">
        <v>712</v>
      </c>
    </row>
    <row r="268" spans="6:11" ht="17.5" x14ac:dyDescent="0.35">
      <c r="F268" s="170">
        <v>266</v>
      </c>
      <c r="G268" s="170" t="s">
        <v>335</v>
      </c>
      <c r="H268" s="170" t="s">
        <v>348</v>
      </c>
      <c r="I268" s="173" t="s">
        <v>348</v>
      </c>
      <c r="J268" s="170" t="str">
        <f t="shared" si="4"/>
        <v>Twosixsix</v>
      </c>
      <c r="K268" s="170" t="s">
        <v>713</v>
      </c>
    </row>
    <row r="269" spans="6:11" ht="17.5" x14ac:dyDescent="0.35">
      <c r="F269" s="170">
        <v>267</v>
      </c>
      <c r="G269" s="170" t="s">
        <v>335</v>
      </c>
      <c r="H269" s="170" t="s">
        <v>348</v>
      </c>
      <c r="I269" s="173" t="s">
        <v>349</v>
      </c>
      <c r="J269" s="170" t="str">
        <f t="shared" si="4"/>
        <v>Twosixseven</v>
      </c>
      <c r="K269" s="170" t="s">
        <v>714</v>
      </c>
    </row>
    <row r="270" spans="6:11" ht="17.5" x14ac:dyDescent="0.35">
      <c r="F270" s="170">
        <v>268</v>
      </c>
      <c r="G270" s="170" t="s">
        <v>335</v>
      </c>
      <c r="H270" s="170" t="s">
        <v>348</v>
      </c>
      <c r="I270" s="173" t="s">
        <v>350</v>
      </c>
      <c r="J270" s="170" t="str">
        <f t="shared" si="4"/>
        <v>Twosixeight</v>
      </c>
      <c r="K270" s="170" t="s">
        <v>715</v>
      </c>
    </row>
    <row r="271" spans="6:11" ht="17.5" x14ac:dyDescent="0.35">
      <c r="F271" s="170">
        <v>269</v>
      </c>
      <c r="G271" s="170" t="s">
        <v>335</v>
      </c>
      <c r="H271" s="170" t="s">
        <v>348</v>
      </c>
      <c r="I271" s="173" t="s">
        <v>351</v>
      </c>
      <c r="J271" s="170" t="str">
        <f t="shared" si="4"/>
        <v>Twosixnine</v>
      </c>
      <c r="K271" s="170" t="s">
        <v>716</v>
      </c>
    </row>
    <row r="272" spans="6:11" ht="17.5" x14ac:dyDescent="0.35">
      <c r="F272" s="170">
        <v>270</v>
      </c>
      <c r="G272" s="170" t="s">
        <v>335</v>
      </c>
      <c r="H272" s="170" t="s">
        <v>349</v>
      </c>
      <c r="I272" s="177" t="s">
        <v>465</v>
      </c>
      <c r="J272" s="170" t="str">
        <f t="shared" si="4"/>
        <v>Twosevenzero</v>
      </c>
      <c r="K272" s="170" t="s">
        <v>717</v>
      </c>
    </row>
    <row r="273" spans="6:11" ht="17.5" x14ac:dyDescent="0.35">
      <c r="F273" s="170">
        <v>271</v>
      </c>
      <c r="G273" s="170" t="s">
        <v>335</v>
      </c>
      <c r="H273" s="170" t="s">
        <v>349</v>
      </c>
      <c r="I273" s="172" t="s">
        <v>343</v>
      </c>
      <c r="J273" s="170" t="str">
        <f t="shared" si="4"/>
        <v>Twosevenone</v>
      </c>
      <c r="K273" s="170" t="s">
        <v>718</v>
      </c>
    </row>
    <row r="274" spans="6:11" ht="17.5" x14ac:dyDescent="0.35">
      <c r="F274" s="170">
        <v>272</v>
      </c>
      <c r="G274" s="170" t="s">
        <v>335</v>
      </c>
      <c r="H274" s="170" t="s">
        <v>349</v>
      </c>
      <c r="I274" s="172" t="s">
        <v>344</v>
      </c>
      <c r="J274" s="170" t="str">
        <f t="shared" si="4"/>
        <v>Twoseventwo</v>
      </c>
      <c r="K274" s="170" t="s">
        <v>719</v>
      </c>
    </row>
    <row r="275" spans="6:11" ht="17.5" x14ac:dyDescent="0.35">
      <c r="F275" s="170">
        <v>273</v>
      </c>
      <c r="G275" s="170" t="s">
        <v>335</v>
      </c>
      <c r="H275" s="170" t="s">
        <v>349</v>
      </c>
      <c r="I275" s="172" t="s">
        <v>345</v>
      </c>
      <c r="J275" s="170" t="str">
        <f t="shared" si="4"/>
        <v>Twoseventhree</v>
      </c>
      <c r="K275" s="170" t="s">
        <v>720</v>
      </c>
    </row>
    <row r="276" spans="6:11" ht="17.5" x14ac:dyDescent="0.35">
      <c r="F276" s="170">
        <v>274</v>
      </c>
      <c r="G276" s="170" t="s">
        <v>335</v>
      </c>
      <c r="H276" s="170" t="s">
        <v>349</v>
      </c>
      <c r="I276" s="173" t="s">
        <v>346</v>
      </c>
      <c r="J276" s="170" t="str">
        <f t="shared" si="4"/>
        <v>Twosevenfour</v>
      </c>
      <c r="K276" s="170" t="s">
        <v>721</v>
      </c>
    </row>
    <row r="277" spans="6:11" ht="17.5" x14ac:dyDescent="0.35">
      <c r="F277" s="170">
        <v>275</v>
      </c>
      <c r="G277" s="170" t="s">
        <v>335</v>
      </c>
      <c r="H277" s="170" t="s">
        <v>349</v>
      </c>
      <c r="I277" s="173" t="s">
        <v>347</v>
      </c>
      <c r="J277" s="170" t="str">
        <f t="shared" si="4"/>
        <v>Twosevenfive</v>
      </c>
      <c r="K277" s="170" t="s">
        <v>722</v>
      </c>
    </row>
    <row r="278" spans="6:11" ht="17.5" x14ac:dyDescent="0.35">
      <c r="F278" s="170">
        <v>276</v>
      </c>
      <c r="G278" s="170" t="s">
        <v>335</v>
      </c>
      <c r="H278" s="170" t="s">
        <v>349</v>
      </c>
      <c r="I278" s="173" t="s">
        <v>348</v>
      </c>
      <c r="J278" s="170" t="str">
        <f t="shared" si="4"/>
        <v>Twosevensix</v>
      </c>
      <c r="K278" s="170" t="s">
        <v>723</v>
      </c>
    </row>
    <row r="279" spans="6:11" ht="17.5" x14ac:dyDescent="0.35">
      <c r="F279" s="170">
        <v>277</v>
      </c>
      <c r="G279" s="170" t="s">
        <v>335</v>
      </c>
      <c r="H279" s="170" t="s">
        <v>349</v>
      </c>
      <c r="I279" s="173" t="s">
        <v>349</v>
      </c>
      <c r="J279" s="170" t="str">
        <f t="shared" si="4"/>
        <v>Twosevenseven</v>
      </c>
      <c r="K279" s="170" t="s">
        <v>724</v>
      </c>
    </row>
    <row r="280" spans="6:11" ht="17.5" x14ac:dyDescent="0.35">
      <c r="F280" s="170">
        <v>278</v>
      </c>
      <c r="G280" s="170" t="s">
        <v>335</v>
      </c>
      <c r="H280" s="170" t="s">
        <v>349</v>
      </c>
      <c r="I280" s="173" t="s">
        <v>350</v>
      </c>
      <c r="J280" s="170" t="str">
        <f t="shared" si="4"/>
        <v>Twoseveneight</v>
      </c>
      <c r="K280" s="170" t="s">
        <v>725</v>
      </c>
    </row>
    <row r="281" spans="6:11" ht="17.5" x14ac:dyDescent="0.35">
      <c r="F281" s="170">
        <v>279</v>
      </c>
      <c r="G281" s="170" t="s">
        <v>335</v>
      </c>
      <c r="H281" s="170" t="s">
        <v>349</v>
      </c>
      <c r="I281" s="173" t="s">
        <v>351</v>
      </c>
      <c r="J281" s="170" t="str">
        <f t="shared" si="4"/>
        <v>Twosevennine</v>
      </c>
      <c r="K281" s="170" t="s">
        <v>726</v>
      </c>
    </row>
    <row r="282" spans="6:11" ht="17.5" x14ac:dyDescent="0.35">
      <c r="F282" s="170">
        <v>280</v>
      </c>
      <c r="G282" s="170" t="s">
        <v>335</v>
      </c>
      <c r="H282" s="170" t="s">
        <v>350</v>
      </c>
      <c r="I282" s="177" t="s">
        <v>465</v>
      </c>
      <c r="J282" s="170" t="str">
        <f t="shared" si="4"/>
        <v>Twoeightzero</v>
      </c>
      <c r="K282" s="170" t="s">
        <v>727</v>
      </c>
    </row>
    <row r="283" spans="6:11" ht="17.5" x14ac:dyDescent="0.35">
      <c r="F283" s="170">
        <v>281</v>
      </c>
      <c r="G283" s="170" t="s">
        <v>335</v>
      </c>
      <c r="H283" s="170" t="s">
        <v>350</v>
      </c>
      <c r="I283" s="172" t="s">
        <v>343</v>
      </c>
      <c r="J283" s="170" t="str">
        <f t="shared" si="4"/>
        <v>Twoeightone</v>
      </c>
      <c r="K283" s="170" t="s">
        <v>728</v>
      </c>
    </row>
    <row r="284" spans="6:11" ht="17.5" x14ac:dyDescent="0.35">
      <c r="F284" s="170">
        <v>282</v>
      </c>
      <c r="G284" s="170" t="s">
        <v>335</v>
      </c>
      <c r="H284" s="170" t="s">
        <v>350</v>
      </c>
      <c r="I284" s="172" t="s">
        <v>344</v>
      </c>
      <c r="J284" s="170" t="str">
        <f t="shared" si="4"/>
        <v>Twoeighttwo</v>
      </c>
      <c r="K284" s="170" t="s">
        <v>729</v>
      </c>
    </row>
    <row r="285" spans="6:11" ht="17.5" x14ac:dyDescent="0.35">
      <c r="F285" s="170">
        <v>283</v>
      </c>
      <c r="G285" s="170" t="s">
        <v>335</v>
      </c>
      <c r="H285" s="170" t="s">
        <v>350</v>
      </c>
      <c r="I285" s="172" t="s">
        <v>345</v>
      </c>
      <c r="J285" s="170" t="str">
        <f t="shared" si="4"/>
        <v>Twoeightthree</v>
      </c>
      <c r="K285" s="170" t="s">
        <v>730</v>
      </c>
    </row>
    <row r="286" spans="6:11" ht="17.5" x14ac:dyDescent="0.35">
      <c r="F286" s="170">
        <v>284</v>
      </c>
      <c r="G286" s="170" t="s">
        <v>335</v>
      </c>
      <c r="H286" s="170" t="s">
        <v>350</v>
      </c>
      <c r="I286" s="173" t="s">
        <v>346</v>
      </c>
      <c r="J286" s="170" t="str">
        <f t="shared" si="4"/>
        <v>Twoeightfour</v>
      </c>
      <c r="K286" s="170" t="s">
        <v>731</v>
      </c>
    </row>
    <row r="287" spans="6:11" ht="17.5" x14ac:dyDescent="0.35">
      <c r="F287" s="170">
        <v>285</v>
      </c>
      <c r="G287" s="170" t="s">
        <v>335</v>
      </c>
      <c r="H287" s="170" t="s">
        <v>350</v>
      </c>
      <c r="I287" s="173" t="s">
        <v>347</v>
      </c>
      <c r="J287" s="170" t="str">
        <f t="shared" si="4"/>
        <v>Twoeightfive</v>
      </c>
      <c r="K287" s="170" t="s">
        <v>732</v>
      </c>
    </row>
    <row r="288" spans="6:11" ht="17.5" x14ac:dyDescent="0.35">
      <c r="F288" s="170">
        <v>286</v>
      </c>
      <c r="G288" s="170" t="s">
        <v>335</v>
      </c>
      <c r="H288" s="170" t="s">
        <v>350</v>
      </c>
      <c r="I288" s="173" t="s">
        <v>348</v>
      </c>
      <c r="J288" s="170" t="str">
        <f t="shared" si="4"/>
        <v>Twoeightsix</v>
      </c>
      <c r="K288" s="170" t="s">
        <v>733</v>
      </c>
    </row>
    <row r="289" spans="6:11" ht="17.5" x14ac:dyDescent="0.35">
      <c r="F289" s="170">
        <v>287</v>
      </c>
      <c r="G289" s="170" t="s">
        <v>335</v>
      </c>
      <c r="H289" s="170" t="s">
        <v>350</v>
      </c>
      <c r="I289" s="173" t="s">
        <v>349</v>
      </c>
      <c r="J289" s="170" t="str">
        <f t="shared" si="4"/>
        <v>Twoeightseven</v>
      </c>
      <c r="K289" s="170" t="s">
        <v>734</v>
      </c>
    </row>
    <row r="290" spans="6:11" ht="17.5" x14ac:dyDescent="0.35">
      <c r="F290" s="170">
        <v>288</v>
      </c>
      <c r="G290" s="170" t="s">
        <v>335</v>
      </c>
      <c r="H290" s="170" t="s">
        <v>350</v>
      </c>
      <c r="I290" s="173" t="s">
        <v>350</v>
      </c>
      <c r="J290" s="170" t="str">
        <f t="shared" si="4"/>
        <v>Twoeighteight</v>
      </c>
      <c r="K290" s="170" t="s">
        <v>735</v>
      </c>
    </row>
    <row r="291" spans="6:11" ht="17.5" x14ac:dyDescent="0.35">
      <c r="F291" s="170">
        <v>289</v>
      </c>
      <c r="G291" s="170" t="s">
        <v>335</v>
      </c>
      <c r="H291" s="170" t="s">
        <v>350</v>
      </c>
      <c r="I291" s="173" t="s">
        <v>351</v>
      </c>
      <c r="J291" s="170" t="str">
        <f t="shared" si="4"/>
        <v>Twoeightnine</v>
      </c>
      <c r="K291" s="170" t="s">
        <v>736</v>
      </c>
    </row>
    <row r="292" spans="6:11" x14ac:dyDescent="0.35">
      <c r="F292" s="170">
        <v>290</v>
      </c>
      <c r="G292" s="170" t="s">
        <v>335</v>
      </c>
      <c r="H292" s="170" t="s">
        <v>351</v>
      </c>
      <c r="I292" s="170" t="s">
        <v>465</v>
      </c>
      <c r="J292" s="170" t="str">
        <f t="shared" si="4"/>
        <v>Twoninezero</v>
      </c>
      <c r="K292" s="170" t="s">
        <v>737</v>
      </c>
    </row>
    <row r="293" spans="6:11" ht="17.5" x14ac:dyDescent="0.35">
      <c r="F293" s="170">
        <v>291</v>
      </c>
      <c r="G293" s="170" t="s">
        <v>335</v>
      </c>
      <c r="H293" s="170" t="s">
        <v>351</v>
      </c>
      <c r="I293" s="172" t="s">
        <v>343</v>
      </c>
      <c r="J293" s="170" t="str">
        <f t="shared" si="4"/>
        <v>Twonineone</v>
      </c>
      <c r="K293" s="170" t="s">
        <v>738</v>
      </c>
    </row>
    <row r="294" spans="6:11" ht="17.5" x14ac:dyDescent="0.35">
      <c r="F294" s="170">
        <v>292</v>
      </c>
      <c r="G294" s="170" t="s">
        <v>335</v>
      </c>
      <c r="H294" s="170" t="s">
        <v>351</v>
      </c>
      <c r="I294" s="172" t="s">
        <v>344</v>
      </c>
      <c r="J294" s="170" t="str">
        <f t="shared" ref="J294:J357" si="5">G294&amp;H294&amp;I294</f>
        <v>Twoninetwo</v>
      </c>
      <c r="K294" s="170" t="s">
        <v>739</v>
      </c>
    </row>
    <row r="295" spans="6:11" ht="17.5" x14ac:dyDescent="0.35">
      <c r="F295" s="170">
        <v>293</v>
      </c>
      <c r="G295" s="170" t="s">
        <v>335</v>
      </c>
      <c r="H295" s="170" t="s">
        <v>351</v>
      </c>
      <c r="I295" s="172" t="s">
        <v>345</v>
      </c>
      <c r="J295" s="170" t="str">
        <f t="shared" si="5"/>
        <v>Twoninethree</v>
      </c>
      <c r="K295" s="170" t="s">
        <v>740</v>
      </c>
    </row>
    <row r="296" spans="6:11" ht="17.5" x14ac:dyDescent="0.35">
      <c r="F296" s="170">
        <v>294</v>
      </c>
      <c r="G296" s="170" t="s">
        <v>335</v>
      </c>
      <c r="H296" s="170" t="s">
        <v>351</v>
      </c>
      <c r="I296" s="173" t="s">
        <v>346</v>
      </c>
      <c r="J296" s="170" t="str">
        <f t="shared" si="5"/>
        <v>Twoninefour</v>
      </c>
      <c r="K296" s="170" t="s">
        <v>741</v>
      </c>
    </row>
    <row r="297" spans="6:11" ht="17.5" x14ac:dyDescent="0.35">
      <c r="F297" s="170">
        <v>295</v>
      </c>
      <c r="G297" s="170" t="s">
        <v>335</v>
      </c>
      <c r="H297" s="170" t="s">
        <v>351</v>
      </c>
      <c r="I297" s="173" t="s">
        <v>347</v>
      </c>
      <c r="J297" s="170" t="str">
        <f t="shared" si="5"/>
        <v>Twoninefive</v>
      </c>
      <c r="K297" s="170" t="s">
        <v>742</v>
      </c>
    </row>
    <row r="298" spans="6:11" ht="17.5" x14ac:dyDescent="0.35">
      <c r="F298" s="170">
        <v>296</v>
      </c>
      <c r="G298" s="170" t="s">
        <v>335</v>
      </c>
      <c r="H298" s="170" t="s">
        <v>351</v>
      </c>
      <c r="I298" s="173" t="s">
        <v>348</v>
      </c>
      <c r="J298" s="170" t="str">
        <f t="shared" si="5"/>
        <v>Twoninesix</v>
      </c>
      <c r="K298" s="170" t="s">
        <v>743</v>
      </c>
    </row>
    <row r="299" spans="6:11" ht="17.5" x14ac:dyDescent="0.35">
      <c r="F299" s="170">
        <v>297</v>
      </c>
      <c r="G299" s="170" t="s">
        <v>335</v>
      </c>
      <c r="H299" s="170" t="s">
        <v>351</v>
      </c>
      <c r="I299" s="173" t="s">
        <v>349</v>
      </c>
      <c r="J299" s="170" t="str">
        <f t="shared" si="5"/>
        <v>Twonineseven</v>
      </c>
      <c r="K299" s="170" t="s">
        <v>744</v>
      </c>
    </row>
    <row r="300" spans="6:11" ht="17.5" x14ac:dyDescent="0.35">
      <c r="F300" s="170">
        <v>298</v>
      </c>
      <c r="G300" s="170" t="s">
        <v>335</v>
      </c>
      <c r="H300" s="170" t="s">
        <v>351</v>
      </c>
      <c r="I300" s="173" t="s">
        <v>350</v>
      </c>
      <c r="J300" s="170" t="str">
        <f t="shared" si="5"/>
        <v>Twonineeight</v>
      </c>
      <c r="K300" s="170" t="s">
        <v>745</v>
      </c>
    </row>
    <row r="301" spans="6:11" ht="17.5" x14ac:dyDescent="0.35">
      <c r="F301" s="170">
        <v>299</v>
      </c>
      <c r="G301" s="170" t="s">
        <v>335</v>
      </c>
      <c r="H301" s="170" t="s">
        <v>351</v>
      </c>
      <c r="I301" s="173" t="s">
        <v>351</v>
      </c>
      <c r="J301" s="170" t="str">
        <f t="shared" si="5"/>
        <v>Twoninenine</v>
      </c>
      <c r="K301" s="170" t="s">
        <v>746</v>
      </c>
    </row>
    <row r="302" spans="6:11" x14ac:dyDescent="0.35">
      <c r="F302" s="170">
        <v>300</v>
      </c>
      <c r="G302" s="170" t="s">
        <v>336</v>
      </c>
      <c r="H302" s="170" t="s">
        <v>465</v>
      </c>
      <c r="I302" s="170" t="s">
        <v>465</v>
      </c>
      <c r="J302" s="170" t="str">
        <f t="shared" si="5"/>
        <v>Threezerozero</v>
      </c>
      <c r="K302" s="170" t="s">
        <v>747</v>
      </c>
    </row>
    <row r="303" spans="6:11" ht="17.5" x14ac:dyDescent="0.35">
      <c r="F303" s="170">
        <v>301</v>
      </c>
      <c r="G303" s="170" t="s">
        <v>336</v>
      </c>
      <c r="H303" s="170" t="s">
        <v>465</v>
      </c>
      <c r="I303" s="172" t="s">
        <v>343</v>
      </c>
      <c r="J303" s="170" t="str">
        <f t="shared" si="5"/>
        <v>Threezeroone</v>
      </c>
      <c r="K303" s="170" t="s">
        <v>748</v>
      </c>
    </row>
    <row r="304" spans="6:11" ht="17.5" x14ac:dyDescent="0.35">
      <c r="F304" s="170">
        <v>302</v>
      </c>
      <c r="G304" s="170" t="s">
        <v>336</v>
      </c>
      <c r="H304" s="170" t="s">
        <v>465</v>
      </c>
      <c r="I304" s="172" t="s">
        <v>344</v>
      </c>
      <c r="J304" s="170" t="str">
        <f t="shared" si="5"/>
        <v>Threezerotwo</v>
      </c>
      <c r="K304" s="170" t="s">
        <v>749</v>
      </c>
    </row>
    <row r="305" spans="6:11" ht="17.5" x14ac:dyDescent="0.35">
      <c r="F305" s="170">
        <v>303</v>
      </c>
      <c r="G305" s="170" t="s">
        <v>336</v>
      </c>
      <c r="H305" s="170" t="s">
        <v>465</v>
      </c>
      <c r="I305" s="172" t="s">
        <v>345</v>
      </c>
      <c r="J305" s="170" t="str">
        <f t="shared" si="5"/>
        <v>Threezerothree</v>
      </c>
      <c r="K305" s="170" t="s">
        <v>750</v>
      </c>
    </row>
    <row r="306" spans="6:11" ht="17.5" x14ac:dyDescent="0.35">
      <c r="F306" s="170">
        <v>304</v>
      </c>
      <c r="G306" s="170" t="s">
        <v>336</v>
      </c>
      <c r="H306" s="170" t="s">
        <v>465</v>
      </c>
      <c r="I306" s="173" t="s">
        <v>346</v>
      </c>
      <c r="J306" s="170" t="str">
        <f t="shared" si="5"/>
        <v>Threezerofour</v>
      </c>
      <c r="K306" s="170" t="s">
        <v>751</v>
      </c>
    </row>
    <row r="307" spans="6:11" ht="17.5" x14ac:dyDescent="0.35">
      <c r="F307" s="170">
        <v>305</v>
      </c>
      <c r="G307" s="170" t="s">
        <v>336</v>
      </c>
      <c r="H307" s="170" t="s">
        <v>465</v>
      </c>
      <c r="I307" s="173" t="s">
        <v>347</v>
      </c>
      <c r="J307" s="170" t="str">
        <f t="shared" si="5"/>
        <v>Threezerofive</v>
      </c>
      <c r="K307" s="170" t="s">
        <v>752</v>
      </c>
    </row>
    <row r="308" spans="6:11" ht="17.5" x14ac:dyDescent="0.35">
      <c r="F308" s="170">
        <v>306</v>
      </c>
      <c r="G308" s="170" t="s">
        <v>336</v>
      </c>
      <c r="H308" s="170" t="s">
        <v>465</v>
      </c>
      <c r="I308" s="173" t="s">
        <v>348</v>
      </c>
      <c r="J308" s="170" t="str">
        <f t="shared" si="5"/>
        <v>Threezerosix</v>
      </c>
      <c r="K308" s="170" t="s">
        <v>753</v>
      </c>
    </row>
    <row r="309" spans="6:11" ht="17.5" x14ac:dyDescent="0.35">
      <c r="F309" s="170">
        <v>307</v>
      </c>
      <c r="G309" s="170" t="s">
        <v>336</v>
      </c>
      <c r="H309" s="170" t="s">
        <v>465</v>
      </c>
      <c r="I309" s="173" t="s">
        <v>349</v>
      </c>
      <c r="J309" s="170" t="str">
        <f t="shared" si="5"/>
        <v>Threezeroseven</v>
      </c>
      <c r="K309" s="170" t="s">
        <v>754</v>
      </c>
    </row>
    <row r="310" spans="6:11" ht="17.5" x14ac:dyDescent="0.35">
      <c r="F310" s="170">
        <v>308</v>
      </c>
      <c r="G310" s="170" t="s">
        <v>336</v>
      </c>
      <c r="H310" s="170" t="s">
        <v>465</v>
      </c>
      <c r="I310" s="173" t="s">
        <v>350</v>
      </c>
      <c r="J310" s="170" t="str">
        <f t="shared" si="5"/>
        <v>Threezeroeight</v>
      </c>
      <c r="K310" s="170" t="s">
        <v>755</v>
      </c>
    </row>
    <row r="311" spans="6:11" ht="17.5" x14ac:dyDescent="0.35">
      <c r="F311" s="170">
        <v>309</v>
      </c>
      <c r="G311" s="170" t="s">
        <v>336</v>
      </c>
      <c r="H311" s="170" t="s">
        <v>465</v>
      </c>
      <c r="I311" s="173" t="s">
        <v>351</v>
      </c>
      <c r="J311" s="170" t="str">
        <f t="shared" si="5"/>
        <v>Threezeronine</v>
      </c>
      <c r="K311" s="170" t="s">
        <v>756</v>
      </c>
    </row>
    <row r="312" spans="6:11" ht="17.5" x14ac:dyDescent="0.35">
      <c r="F312" s="170">
        <v>310</v>
      </c>
      <c r="G312" s="170" t="s">
        <v>336</v>
      </c>
      <c r="H312" s="172" t="s">
        <v>343</v>
      </c>
      <c r="I312" s="177" t="s">
        <v>465</v>
      </c>
      <c r="J312" s="170" t="str">
        <f t="shared" si="5"/>
        <v>Threeonezero</v>
      </c>
      <c r="K312" s="170" t="s">
        <v>757</v>
      </c>
    </row>
    <row r="313" spans="6:11" ht="17.5" x14ac:dyDescent="0.35">
      <c r="F313" s="170">
        <v>311</v>
      </c>
      <c r="G313" s="170" t="s">
        <v>336</v>
      </c>
      <c r="H313" s="172" t="s">
        <v>343</v>
      </c>
      <c r="I313" s="172" t="s">
        <v>343</v>
      </c>
      <c r="J313" s="170" t="str">
        <f t="shared" si="5"/>
        <v>Threeoneone</v>
      </c>
      <c r="K313" s="170" t="s">
        <v>758</v>
      </c>
    </row>
    <row r="314" spans="6:11" ht="17.5" x14ac:dyDescent="0.35">
      <c r="F314" s="170">
        <v>312</v>
      </c>
      <c r="G314" s="170" t="s">
        <v>336</v>
      </c>
      <c r="H314" s="172" t="s">
        <v>343</v>
      </c>
      <c r="I314" s="172" t="s">
        <v>344</v>
      </c>
      <c r="J314" s="170" t="str">
        <f t="shared" si="5"/>
        <v>Threeonetwo</v>
      </c>
      <c r="K314" s="170" t="s">
        <v>759</v>
      </c>
    </row>
    <row r="315" spans="6:11" ht="17.5" x14ac:dyDescent="0.35">
      <c r="F315" s="170">
        <v>313</v>
      </c>
      <c r="G315" s="170" t="s">
        <v>336</v>
      </c>
      <c r="H315" s="172" t="s">
        <v>343</v>
      </c>
      <c r="I315" s="172" t="s">
        <v>345</v>
      </c>
      <c r="J315" s="170" t="str">
        <f t="shared" si="5"/>
        <v>Threeonethree</v>
      </c>
      <c r="K315" s="170" t="s">
        <v>760</v>
      </c>
    </row>
    <row r="316" spans="6:11" ht="17.5" x14ac:dyDescent="0.35">
      <c r="F316" s="170">
        <v>314</v>
      </c>
      <c r="G316" s="170" t="s">
        <v>336</v>
      </c>
      <c r="H316" s="172" t="s">
        <v>343</v>
      </c>
      <c r="I316" s="173" t="s">
        <v>346</v>
      </c>
      <c r="J316" s="170" t="str">
        <f t="shared" si="5"/>
        <v>Threeonefour</v>
      </c>
      <c r="K316" s="170" t="s">
        <v>761</v>
      </c>
    </row>
    <row r="317" spans="6:11" ht="17.5" x14ac:dyDescent="0.35">
      <c r="F317" s="170">
        <v>315</v>
      </c>
      <c r="G317" s="170" t="s">
        <v>336</v>
      </c>
      <c r="H317" s="172" t="s">
        <v>343</v>
      </c>
      <c r="I317" s="173" t="s">
        <v>347</v>
      </c>
      <c r="J317" s="170" t="str">
        <f t="shared" si="5"/>
        <v>Threeonefive</v>
      </c>
      <c r="K317" s="170" t="s">
        <v>762</v>
      </c>
    </row>
    <row r="318" spans="6:11" ht="17.5" x14ac:dyDescent="0.35">
      <c r="F318" s="170">
        <v>316</v>
      </c>
      <c r="G318" s="170" t="s">
        <v>336</v>
      </c>
      <c r="H318" s="172" t="s">
        <v>343</v>
      </c>
      <c r="I318" s="173" t="s">
        <v>348</v>
      </c>
      <c r="J318" s="170" t="str">
        <f t="shared" si="5"/>
        <v>Threeonesix</v>
      </c>
      <c r="K318" s="170" t="s">
        <v>763</v>
      </c>
    </row>
    <row r="319" spans="6:11" ht="17.5" x14ac:dyDescent="0.35">
      <c r="F319" s="170">
        <v>317</v>
      </c>
      <c r="G319" s="170" t="s">
        <v>336</v>
      </c>
      <c r="H319" s="172" t="s">
        <v>343</v>
      </c>
      <c r="I319" s="173" t="s">
        <v>349</v>
      </c>
      <c r="J319" s="170" t="str">
        <f t="shared" si="5"/>
        <v>Threeoneseven</v>
      </c>
      <c r="K319" s="170" t="s">
        <v>764</v>
      </c>
    </row>
    <row r="320" spans="6:11" ht="17.5" x14ac:dyDescent="0.35">
      <c r="F320" s="170">
        <v>318</v>
      </c>
      <c r="G320" s="170" t="s">
        <v>336</v>
      </c>
      <c r="H320" s="172" t="s">
        <v>343</v>
      </c>
      <c r="I320" s="173" t="s">
        <v>350</v>
      </c>
      <c r="J320" s="170" t="str">
        <f t="shared" si="5"/>
        <v>Threeoneeight</v>
      </c>
      <c r="K320" s="170" t="s">
        <v>765</v>
      </c>
    </row>
    <row r="321" spans="6:11" ht="17.5" x14ac:dyDescent="0.35">
      <c r="F321" s="170">
        <v>319</v>
      </c>
      <c r="G321" s="170" t="s">
        <v>336</v>
      </c>
      <c r="H321" s="172" t="s">
        <v>343</v>
      </c>
      <c r="I321" s="173" t="s">
        <v>351</v>
      </c>
      <c r="J321" s="170" t="str">
        <f t="shared" si="5"/>
        <v>Threeonenine</v>
      </c>
      <c r="K321" s="170" t="s">
        <v>766</v>
      </c>
    </row>
    <row r="322" spans="6:11" ht="17.5" x14ac:dyDescent="0.35">
      <c r="F322" s="170">
        <v>320</v>
      </c>
      <c r="G322" s="170" t="s">
        <v>336</v>
      </c>
      <c r="H322" s="170" t="s">
        <v>344</v>
      </c>
      <c r="I322" s="177" t="s">
        <v>465</v>
      </c>
      <c r="J322" s="170" t="str">
        <f t="shared" si="5"/>
        <v>Threetwozero</v>
      </c>
      <c r="K322" s="170" t="s">
        <v>767</v>
      </c>
    </row>
    <row r="323" spans="6:11" ht="17.5" x14ac:dyDescent="0.35">
      <c r="F323" s="170">
        <v>321</v>
      </c>
      <c r="G323" s="170" t="s">
        <v>336</v>
      </c>
      <c r="H323" s="170" t="s">
        <v>344</v>
      </c>
      <c r="I323" s="172" t="s">
        <v>343</v>
      </c>
      <c r="J323" s="170" t="str">
        <f t="shared" si="5"/>
        <v>Threetwoone</v>
      </c>
      <c r="K323" s="170" t="s">
        <v>768</v>
      </c>
    </row>
    <row r="324" spans="6:11" ht="17.5" x14ac:dyDescent="0.35">
      <c r="F324" s="170">
        <v>322</v>
      </c>
      <c r="G324" s="170" t="s">
        <v>336</v>
      </c>
      <c r="H324" s="170" t="s">
        <v>344</v>
      </c>
      <c r="I324" s="172" t="s">
        <v>344</v>
      </c>
      <c r="J324" s="170" t="str">
        <f t="shared" si="5"/>
        <v>Threetwotwo</v>
      </c>
      <c r="K324" s="170" t="s">
        <v>769</v>
      </c>
    </row>
    <row r="325" spans="6:11" ht="17.5" x14ac:dyDescent="0.35">
      <c r="F325" s="170">
        <v>323</v>
      </c>
      <c r="G325" s="170" t="s">
        <v>336</v>
      </c>
      <c r="H325" s="170" t="s">
        <v>344</v>
      </c>
      <c r="I325" s="172" t="s">
        <v>345</v>
      </c>
      <c r="J325" s="170" t="str">
        <f t="shared" si="5"/>
        <v>Threetwothree</v>
      </c>
      <c r="K325" s="170" t="s">
        <v>770</v>
      </c>
    </row>
    <row r="326" spans="6:11" ht="17.5" x14ac:dyDescent="0.35">
      <c r="F326" s="170">
        <v>324</v>
      </c>
      <c r="G326" s="170" t="s">
        <v>336</v>
      </c>
      <c r="H326" s="170" t="s">
        <v>344</v>
      </c>
      <c r="I326" s="173" t="s">
        <v>346</v>
      </c>
      <c r="J326" s="170" t="str">
        <f t="shared" si="5"/>
        <v>Threetwofour</v>
      </c>
      <c r="K326" s="170" t="s">
        <v>771</v>
      </c>
    </row>
    <row r="327" spans="6:11" ht="17.5" x14ac:dyDescent="0.35">
      <c r="F327" s="170">
        <v>325</v>
      </c>
      <c r="G327" s="170" t="s">
        <v>336</v>
      </c>
      <c r="H327" s="170" t="s">
        <v>344</v>
      </c>
      <c r="I327" s="173" t="s">
        <v>347</v>
      </c>
      <c r="J327" s="170" t="str">
        <f t="shared" si="5"/>
        <v>Threetwofive</v>
      </c>
      <c r="K327" s="170" t="s">
        <v>772</v>
      </c>
    </row>
    <row r="328" spans="6:11" ht="17.5" x14ac:dyDescent="0.35">
      <c r="F328" s="170">
        <v>326</v>
      </c>
      <c r="G328" s="170" t="s">
        <v>336</v>
      </c>
      <c r="H328" s="170" t="s">
        <v>344</v>
      </c>
      <c r="I328" s="173" t="s">
        <v>348</v>
      </c>
      <c r="J328" s="170" t="str">
        <f t="shared" si="5"/>
        <v>Threetwosix</v>
      </c>
      <c r="K328" s="170" t="s">
        <v>773</v>
      </c>
    </row>
    <row r="329" spans="6:11" ht="17.5" x14ac:dyDescent="0.35">
      <c r="F329" s="170">
        <v>327</v>
      </c>
      <c r="G329" s="170" t="s">
        <v>336</v>
      </c>
      <c r="H329" s="170" t="s">
        <v>344</v>
      </c>
      <c r="I329" s="173" t="s">
        <v>349</v>
      </c>
      <c r="J329" s="170" t="str">
        <f t="shared" si="5"/>
        <v>Threetwoseven</v>
      </c>
      <c r="K329" s="170" t="s">
        <v>774</v>
      </c>
    </row>
    <row r="330" spans="6:11" ht="17.5" x14ac:dyDescent="0.35">
      <c r="F330" s="170">
        <v>328</v>
      </c>
      <c r="G330" s="170" t="s">
        <v>336</v>
      </c>
      <c r="H330" s="170" t="s">
        <v>344</v>
      </c>
      <c r="I330" s="173" t="s">
        <v>350</v>
      </c>
      <c r="J330" s="170" t="str">
        <f t="shared" si="5"/>
        <v>Threetwoeight</v>
      </c>
      <c r="K330" s="170" t="s">
        <v>775</v>
      </c>
    </row>
    <row r="331" spans="6:11" ht="17.5" x14ac:dyDescent="0.35">
      <c r="F331" s="170">
        <v>329</v>
      </c>
      <c r="G331" s="170" t="s">
        <v>336</v>
      </c>
      <c r="H331" s="170" t="s">
        <v>344</v>
      </c>
      <c r="I331" s="173" t="s">
        <v>351</v>
      </c>
      <c r="J331" s="170" t="str">
        <f t="shared" si="5"/>
        <v>Threetwonine</v>
      </c>
      <c r="K331" s="170" t="s">
        <v>776</v>
      </c>
    </row>
    <row r="332" spans="6:11" x14ac:dyDescent="0.35">
      <c r="F332" s="170">
        <v>330</v>
      </c>
      <c r="G332" s="170" t="s">
        <v>336</v>
      </c>
      <c r="H332" s="170" t="s">
        <v>345</v>
      </c>
      <c r="I332" s="170" t="s">
        <v>465</v>
      </c>
      <c r="J332" s="170" t="str">
        <f t="shared" si="5"/>
        <v>Threethreezero</v>
      </c>
      <c r="K332" s="170" t="s">
        <v>777</v>
      </c>
    </row>
    <row r="333" spans="6:11" ht="17.5" x14ac:dyDescent="0.35">
      <c r="F333" s="170">
        <v>331</v>
      </c>
      <c r="G333" s="170" t="s">
        <v>336</v>
      </c>
      <c r="H333" s="170" t="s">
        <v>345</v>
      </c>
      <c r="I333" s="172" t="s">
        <v>343</v>
      </c>
      <c r="J333" s="170" t="str">
        <f t="shared" si="5"/>
        <v>Threethreeone</v>
      </c>
      <c r="K333" s="170" t="s">
        <v>778</v>
      </c>
    </row>
    <row r="334" spans="6:11" ht="17.5" x14ac:dyDescent="0.35">
      <c r="F334" s="170">
        <v>332</v>
      </c>
      <c r="G334" s="170" t="s">
        <v>336</v>
      </c>
      <c r="H334" s="170" t="s">
        <v>345</v>
      </c>
      <c r="I334" s="172" t="s">
        <v>344</v>
      </c>
      <c r="J334" s="170" t="str">
        <f t="shared" si="5"/>
        <v>Threethreetwo</v>
      </c>
      <c r="K334" s="170" t="s">
        <v>779</v>
      </c>
    </row>
    <row r="335" spans="6:11" ht="17.5" x14ac:dyDescent="0.35">
      <c r="F335" s="170">
        <v>333</v>
      </c>
      <c r="G335" s="170" t="s">
        <v>336</v>
      </c>
      <c r="H335" s="170" t="s">
        <v>345</v>
      </c>
      <c r="I335" s="172" t="s">
        <v>345</v>
      </c>
      <c r="J335" s="170" t="str">
        <f t="shared" si="5"/>
        <v>Threethreethree</v>
      </c>
      <c r="K335" s="170" t="s">
        <v>780</v>
      </c>
    </row>
    <row r="336" spans="6:11" ht="17.5" x14ac:dyDescent="0.35">
      <c r="F336" s="170">
        <v>334</v>
      </c>
      <c r="G336" s="170" t="s">
        <v>336</v>
      </c>
      <c r="H336" s="170" t="s">
        <v>345</v>
      </c>
      <c r="I336" s="173" t="s">
        <v>346</v>
      </c>
      <c r="J336" s="170" t="str">
        <f t="shared" si="5"/>
        <v>Threethreefour</v>
      </c>
      <c r="K336" s="170" t="s">
        <v>781</v>
      </c>
    </row>
    <row r="337" spans="6:11" ht="17.5" x14ac:dyDescent="0.35">
      <c r="F337" s="170">
        <v>335</v>
      </c>
      <c r="G337" s="170" t="s">
        <v>336</v>
      </c>
      <c r="H337" s="170" t="s">
        <v>345</v>
      </c>
      <c r="I337" s="173" t="s">
        <v>347</v>
      </c>
      <c r="J337" s="170" t="str">
        <f t="shared" si="5"/>
        <v>Threethreefive</v>
      </c>
      <c r="K337" s="170" t="s">
        <v>782</v>
      </c>
    </row>
    <row r="338" spans="6:11" ht="17.5" x14ac:dyDescent="0.35">
      <c r="F338" s="170">
        <v>336</v>
      </c>
      <c r="G338" s="170" t="s">
        <v>336</v>
      </c>
      <c r="H338" s="170" t="s">
        <v>345</v>
      </c>
      <c r="I338" s="173" t="s">
        <v>348</v>
      </c>
      <c r="J338" s="170" t="str">
        <f t="shared" si="5"/>
        <v>Threethreesix</v>
      </c>
      <c r="K338" s="170" t="s">
        <v>783</v>
      </c>
    </row>
    <row r="339" spans="6:11" ht="17.5" x14ac:dyDescent="0.35">
      <c r="F339" s="170">
        <v>337</v>
      </c>
      <c r="G339" s="170" t="s">
        <v>336</v>
      </c>
      <c r="H339" s="170" t="s">
        <v>345</v>
      </c>
      <c r="I339" s="173" t="s">
        <v>349</v>
      </c>
      <c r="J339" s="170" t="str">
        <f t="shared" si="5"/>
        <v>Threethreeseven</v>
      </c>
      <c r="K339" s="170" t="s">
        <v>784</v>
      </c>
    </row>
    <row r="340" spans="6:11" ht="17.5" x14ac:dyDescent="0.35">
      <c r="F340" s="170">
        <v>338</v>
      </c>
      <c r="G340" s="170" t="s">
        <v>336</v>
      </c>
      <c r="H340" s="170" t="s">
        <v>345</v>
      </c>
      <c r="I340" s="173" t="s">
        <v>350</v>
      </c>
      <c r="J340" s="170" t="str">
        <f t="shared" si="5"/>
        <v>Threethreeeight</v>
      </c>
      <c r="K340" s="170" t="s">
        <v>785</v>
      </c>
    </row>
    <row r="341" spans="6:11" ht="17.5" x14ac:dyDescent="0.35">
      <c r="F341" s="170">
        <v>339</v>
      </c>
      <c r="G341" s="170" t="s">
        <v>336</v>
      </c>
      <c r="H341" s="170" t="s">
        <v>345</v>
      </c>
      <c r="I341" s="173" t="s">
        <v>351</v>
      </c>
      <c r="J341" s="170" t="str">
        <f t="shared" si="5"/>
        <v>Threethreenine</v>
      </c>
      <c r="K341" s="170" t="s">
        <v>786</v>
      </c>
    </row>
    <row r="342" spans="6:11" x14ac:dyDescent="0.35">
      <c r="F342" s="170">
        <v>340</v>
      </c>
      <c r="G342" s="170" t="s">
        <v>336</v>
      </c>
      <c r="H342" s="170" t="s">
        <v>346</v>
      </c>
      <c r="I342" s="170" t="s">
        <v>465</v>
      </c>
      <c r="J342" s="170" t="str">
        <f t="shared" si="5"/>
        <v>Threefourzero</v>
      </c>
      <c r="K342" s="170" t="s">
        <v>787</v>
      </c>
    </row>
    <row r="343" spans="6:11" ht="17.5" x14ac:dyDescent="0.35">
      <c r="F343" s="170">
        <v>341</v>
      </c>
      <c r="G343" s="170" t="s">
        <v>336</v>
      </c>
      <c r="H343" s="170" t="s">
        <v>346</v>
      </c>
      <c r="I343" s="172" t="s">
        <v>343</v>
      </c>
      <c r="J343" s="170" t="str">
        <f t="shared" si="5"/>
        <v>Threefourone</v>
      </c>
      <c r="K343" s="170" t="s">
        <v>788</v>
      </c>
    </row>
    <row r="344" spans="6:11" ht="17.5" x14ac:dyDescent="0.35">
      <c r="F344" s="170">
        <v>342</v>
      </c>
      <c r="G344" s="170" t="s">
        <v>336</v>
      </c>
      <c r="H344" s="170" t="s">
        <v>346</v>
      </c>
      <c r="I344" s="172" t="s">
        <v>344</v>
      </c>
      <c r="J344" s="170" t="str">
        <f t="shared" si="5"/>
        <v>Threefourtwo</v>
      </c>
      <c r="K344" s="170" t="s">
        <v>789</v>
      </c>
    </row>
    <row r="345" spans="6:11" ht="17.5" x14ac:dyDescent="0.35">
      <c r="F345" s="170">
        <v>343</v>
      </c>
      <c r="G345" s="170" t="s">
        <v>336</v>
      </c>
      <c r="H345" s="170" t="s">
        <v>346</v>
      </c>
      <c r="I345" s="172" t="s">
        <v>345</v>
      </c>
      <c r="J345" s="170" t="str">
        <f t="shared" si="5"/>
        <v>Threefourthree</v>
      </c>
      <c r="K345" s="170" t="s">
        <v>790</v>
      </c>
    </row>
    <row r="346" spans="6:11" ht="17.5" x14ac:dyDescent="0.35">
      <c r="F346" s="170">
        <v>344</v>
      </c>
      <c r="G346" s="170" t="s">
        <v>336</v>
      </c>
      <c r="H346" s="170" t="s">
        <v>346</v>
      </c>
      <c r="I346" s="173" t="s">
        <v>346</v>
      </c>
      <c r="J346" s="170" t="str">
        <f t="shared" si="5"/>
        <v>Threefourfour</v>
      </c>
      <c r="K346" s="170" t="s">
        <v>791</v>
      </c>
    </row>
    <row r="347" spans="6:11" ht="17.5" x14ac:dyDescent="0.35">
      <c r="F347" s="170">
        <v>345</v>
      </c>
      <c r="G347" s="170" t="s">
        <v>336</v>
      </c>
      <c r="H347" s="170" t="s">
        <v>346</v>
      </c>
      <c r="I347" s="173" t="s">
        <v>347</v>
      </c>
      <c r="J347" s="170" t="str">
        <f t="shared" si="5"/>
        <v>Threefourfive</v>
      </c>
      <c r="K347" s="170" t="s">
        <v>792</v>
      </c>
    </row>
    <row r="348" spans="6:11" ht="17.5" x14ac:dyDescent="0.35">
      <c r="F348" s="170">
        <v>346</v>
      </c>
      <c r="G348" s="170" t="s">
        <v>336</v>
      </c>
      <c r="H348" s="170" t="s">
        <v>346</v>
      </c>
      <c r="I348" s="173" t="s">
        <v>348</v>
      </c>
      <c r="J348" s="170" t="str">
        <f t="shared" si="5"/>
        <v>Threefoursix</v>
      </c>
      <c r="K348" s="170" t="s">
        <v>793</v>
      </c>
    </row>
    <row r="349" spans="6:11" ht="17.5" x14ac:dyDescent="0.35">
      <c r="F349" s="170">
        <v>347</v>
      </c>
      <c r="G349" s="170" t="s">
        <v>336</v>
      </c>
      <c r="H349" s="170" t="s">
        <v>346</v>
      </c>
      <c r="I349" s="173" t="s">
        <v>349</v>
      </c>
      <c r="J349" s="170" t="str">
        <f t="shared" si="5"/>
        <v>Threefourseven</v>
      </c>
      <c r="K349" s="170" t="s">
        <v>794</v>
      </c>
    </row>
    <row r="350" spans="6:11" ht="17.5" x14ac:dyDescent="0.35">
      <c r="F350" s="170">
        <v>348</v>
      </c>
      <c r="G350" s="170" t="s">
        <v>336</v>
      </c>
      <c r="H350" s="170" t="s">
        <v>346</v>
      </c>
      <c r="I350" s="173" t="s">
        <v>350</v>
      </c>
      <c r="J350" s="170" t="str">
        <f t="shared" si="5"/>
        <v>Threefoureight</v>
      </c>
      <c r="K350" s="170" t="s">
        <v>795</v>
      </c>
    </row>
    <row r="351" spans="6:11" ht="17.5" x14ac:dyDescent="0.35">
      <c r="F351" s="170">
        <v>349</v>
      </c>
      <c r="G351" s="170" t="s">
        <v>336</v>
      </c>
      <c r="H351" s="170" t="s">
        <v>346</v>
      </c>
      <c r="I351" s="173" t="s">
        <v>351</v>
      </c>
      <c r="J351" s="170" t="str">
        <f t="shared" si="5"/>
        <v>Threefournine</v>
      </c>
      <c r="K351" s="170" t="s">
        <v>796</v>
      </c>
    </row>
    <row r="352" spans="6:11" ht="17.5" x14ac:dyDescent="0.35">
      <c r="F352" s="170">
        <v>350</v>
      </c>
      <c r="G352" s="170" t="s">
        <v>336</v>
      </c>
      <c r="H352" s="170" t="s">
        <v>347</v>
      </c>
      <c r="I352" s="177" t="s">
        <v>465</v>
      </c>
      <c r="J352" s="170" t="str">
        <f t="shared" si="5"/>
        <v>Threefivezero</v>
      </c>
      <c r="K352" s="170" t="s">
        <v>797</v>
      </c>
    </row>
    <row r="353" spans="6:11" ht="17.5" x14ac:dyDescent="0.35">
      <c r="F353" s="170">
        <v>351</v>
      </c>
      <c r="G353" s="170" t="s">
        <v>336</v>
      </c>
      <c r="H353" s="170" t="s">
        <v>347</v>
      </c>
      <c r="I353" s="172" t="s">
        <v>343</v>
      </c>
      <c r="J353" s="170" t="str">
        <f t="shared" si="5"/>
        <v>Threefiveone</v>
      </c>
      <c r="K353" s="170" t="s">
        <v>798</v>
      </c>
    </row>
    <row r="354" spans="6:11" ht="17.5" x14ac:dyDescent="0.35">
      <c r="F354" s="170">
        <v>352</v>
      </c>
      <c r="G354" s="170" t="s">
        <v>336</v>
      </c>
      <c r="H354" s="170" t="s">
        <v>347</v>
      </c>
      <c r="I354" s="172" t="s">
        <v>344</v>
      </c>
      <c r="J354" s="170" t="str">
        <f t="shared" si="5"/>
        <v>Threefivetwo</v>
      </c>
      <c r="K354" s="170" t="s">
        <v>799</v>
      </c>
    </row>
    <row r="355" spans="6:11" ht="17.5" x14ac:dyDescent="0.35">
      <c r="F355" s="170">
        <v>353</v>
      </c>
      <c r="G355" s="170" t="s">
        <v>336</v>
      </c>
      <c r="H355" s="170" t="s">
        <v>347</v>
      </c>
      <c r="I355" s="172" t="s">
        <v>345</v>
      </c>
      <c r="J355" s="170" t="str">
        <f t="shared" si="5"/>
        <v>Threefivethree</v>
      </c>
      <c r="K355" s="170" t="s">
        <v>800</v>
      </c>
    </row>
    <row r="356" spans="6:11" ht="17.5" x14ac:dyDescent="0.35">
      <c r="F356" s="170">
        <v>354</v>
      </c>
      <c r="G356" s="170" t="s">
        <v>336</v>
      </c>
      <c r="H356" s="170" t="s">
        <v>347</v>
      </c>
      <c r="I356" s="173" t="s">
        <v>346</v>
      </c>
      <c r="J356" s="170" t="str">
        <f t="shared" si="5"/>
        <v>Threefivefour</v>
      </c>
      <c r="K356" s="170" t="s">
        <v>801</v>
      </c>
    </row>
    <row r="357" spans="6:11" ht="17.5" x14ac:dyDescent="0.35">
      <c r="F357" s="170">
        <v>355</v>
      </c>
      <c r="G357" s="170" t="s">
        <v>336</v>
      </c>
      <c r="H357" s="170" t="s">
        <v>347</v>
      </c>
      <c r="I357" s="173" t="s">
        <v>347</v>
      </c>
      <c r="J357" s="170" t="str">
        <f t="shared" si="5"/>
        <v>Threefivefive</v>
      </c>
      <c r="K357" s="170" t="s">
        <v>802</v>
      </c>
    </row>
    <row r="358" spans="6:11" ht="17.5" x14ac:dyDescent="0.35">
      <c r="F358" s="170">
        <v>356</v>
      </c>
      <c r="G358" s="170" t="s">
        <v>336</v>
      </c>
      <c r="H358" s="170" t="s">
        <v>347</v>
      </c>
      <c r="I358" s="173" t="s">
        <v>348</v>
      </c>
      <c r="J358" s="170" t="str">
        <f t="shared" ref="J358:J421" si="6">G358&amp;H358&amp;I358</f>
        <v>Threefivesix</v>
      </c>
      <c r="K358" s="170" t="s">
        <v>803</v>
      </c>
    </row>
    <row r="359" spans="6:11" ht="17.5" x14ac:dyDescent="0.35">
      <c r="F359" s="170">
        <v>357</v>
      </c>
      <c r="G359" s="170" t="s">
        <v>336</v>
      </c>
      <c r="H359" s="170" t="s">
        <v>347</v>
      </c>
      <c r="I359" s="173" t="s">
        <v>349</v>
      </c>
      <c r="J359" s="170" t="str">
        <f t="shared" si="6"/>
        <v>Threefiveseven</v>
      </c>
      <c r="K359" s="170" t="s">
        <v>804</v>
      </c>
    </row>
    <row r="360" spans="6:11" ht="17.5" x14ac:dyDescent="0.35">
      <c r="F360" s="170">
        <v>358</v>
      </c>
      <c r="G360" s="170" t="s">
        <v>336</v>
      </c>
      <c r="H360" s="170" t="s">
        <v>347</v>
      </c>
      <c r="I360" s="173" t="s">
        <v>350</v>
      </c>
      <c r="J360" s="170" t="str">
        <f t="shared" si="6"/>
        <v>Threefiveeight</v>
      </c>
      <c r="K360" s="170" t="s">
        <v>805</v>
      </c>
    </row>
    <row r="361" spans="6:11" ht="17.5" x14ac:dyDescent="0.35">
      <c r="F361" s="170">
        <v>359</v>
      </c>
      <c r="G361" s="170" t="s">
        <v>336</v>
      </c>
      <c r="H361" s="170" t="s">
        <v>347</v>
      </c>
      <c r="I361" s="173" t="s">
        <v>351</v>
      </c>
      <c r="J361" s="170" t="str">
        <f t="shared" si="6"/>
        <v>Threefivenine</v>
      </c>
      <c r="K361" s="170" t="s">
        <v>806</v>
      </c>
    </row>
    <row r="362" spans="6:11" ht="17.5" x14ac:dyDescent="0.35">
      <c r="F362" s="170">
        <v>360</v>
      </c>
      <c r="G362" s="170" t="s">
        <v>336</v>
      </c>
      <c r="H362" s="170" t="s">
        <v>348</v>
      </c>
      <c r="I362" s="177" t="s">
        <v>465</v>
      </c>
      <c r="J362" s="170" t="str">
        <f t="shared" si="6"/>
        <v>Threesixzero</v>
      </c>
      <c r="K362" s="170" t="s">
        <v>807</v>
      </c>
    </row>
    <row r="363" spans="6:11" ht="17.5" x14ac:dyDescent="0.35">
      <c r="F363" s="170">
        <v>361</v>
      </c>
      <c r="G363" s="170" t="s">
        <v>336</v>
      </c>
      <c r="H363" s="170" t="s">
        <v>348</v>
      </c>
      <c r="I363" s="172" t="s">
        <v>343</v>
      </c>
      <c r="J363" s="170" t="str">
        <f t="shared" si="6"/>
        <v>Threesixone</v>
      </c>
      <c r="K363" s="170" t="s">
        <v>808</v>
      </c>
    </row>
    <row r="364" spans="6:11" ht="17.5" x14ac:dyDescent="0.35">
      <c r="F364" s="170">
        <v>362</v>
      </c>
      <c r="G364" s="170" t="s">
        <v>336</v>
      </c>
      <c r="H364" s="170" t="s">
        <v>348</v>
      </c>
      <c r="I364" s="172" t="s">
        <v>344</v>
      </c>
      <c r="J364" s="170" t="str">
        <f t="shared" si="6"/>
        <v>Threesixtwo</v>
      </c>
      <c r="K364" s="170" t="s">
        <v>809</v>
      </c>
    </row>
    <row r="365" spans="6:11" ht="17.5" x14ac:dyDescent="0.35">
      <c r="F365" s="170">
        <v>363</v>
      </c>
      <c r="G365" s="170" t="s">
        <v>336</v>
      </c>
      <c r="H365" s="170" t="s">
        <v>348</v>
      </c>
      <c r="I365" s="172" t="s">
        <v>345</v>
      </c>
      <c r="J365" s="170" t="str">
        <f t="shared" si="6"/>
        <v>Threesixthree</v>
      </c>
      <c r="K365" s="170" t="s">
        <v>810</v>
      </c>
    </row>
    <row r="366" spans="6:11" ht="17.5" x14ac:dyDescent="0.35">
      <c r="F366" s="170">
        <v>364</v>
      </c>
      <c r="G366" s="170" t="s">
        <v>336</v>
      </c>
      <c r="H366" s="170" t="s">
        <v>348</v>
      </c>
      <c r="I366" s="173" t="s">
        <v>346</v>
      </c>
      <c r="J366" s="170" t="str">
        <f t="shared" si="6"/>
        <v>Threesixfour</v>
      </c>
      <c r="K366" s="170" t="s">
        <v>811</v>
      </c>
    </row>
    <row r="367" spans="6:11" ht="17.5" x14ac:dyDescent="0.35">
      <c r="F367" s="170">
        <v>365</v>
      </c>
      <c r="G367" s="170" t="s">
        <v>336</v>
      </c>
      <c r="H367" s="170" t="s">
        <v>348</v>
      </c>
      <c r="I367" s="173" t="s">
        <v>347</v>
      </c>
      <c r="J367" s="170" t="str">
        <f t="shared" si="6"/>
        <v>Threesixfive</v>
      </c>
      <c r="K367" s="170" t="s">
        <v>812</v>
      </c>
    </row>
    <row r="368" spans="6:11" ht="17.5" x14ac:dyDescent="0.35">
      <c r="F368" s="170">
        <v>366</v>
      </c>
      <c r="G368" s="170" t="s">
        <v>336</v>
      </c>
      <c r="H368" s="170" t="s">
        <v>348</v>
      </c>
      <c r="I368" s="173" t="s">
        <v>348</v>
      </c>
      <c r="J368" s="170" t="str">
        <f t="shared" si="6"/>
        <v>Threesixsix</v>
      </c>
      <c r="K368" s="170" t="s">
        <v>813</v>
      </c>
    </row>
    <row r="369" spans="6:11" ht="17.5" x14ac:dyDescent="0.35">
      <c r="F369" s="170">
        <v>367</v>
      </c>
      <c r="G369" s="170" t="s">
        <v>336</v>
      </c>
      <c r="H369" s="170" t="s">
        <v>348</v>
      </c>
      <c r="I369" s="173" t="s">
        <v>349</v>
      </c>
      <c r="J369" s="170" t="str">
        <f t="shared" si="6"/>
        <v>Threesixseven</v>
      </c>
      <c r="K369" s="170" t="s">
        <v>814</v>
      </c>
    </row>
    <row r="370" spans="6:11" ht="17.5" x14ac:dyDescent="0.35">
      <c r="F370" s="170">
        <v>368</v>
      </c>
      <c r="G370" s="170" t="s">
        <v>336</v>
      </c>
      <c r="H370" s="170" t="s">
        <v>348</v>
      </c>
      <c r="I370" s="173" t="s">
        <v>350</v>
      </c>
      <c r="J370" s="170" t="str">
        <f t="shared" si="6"/>
        <v>Threesixeight</v>
      </c>
      <c r="K370" s="170" t="s">
        <v>815</v>
      </c>
    </row>
    <row r="371" spans="6:11" ht="17.5" x14ac:dyDescent="0.35">
      <c r="F371" s="170">
        <v>369</v>
      </c>
      <c r="G371" s="170" t="s">
        <v>336</v>
      </c>
      <c r="H371" s="170" t="s">
        <v>348</v>
      </c>
      <c r="I371" s="173" t="s">
        <v>351</v>
      </c>
      <c r="J371" s="170" t="str">
        <f t="shared" si="6"/>
        <v>Threesixnine</v>
      </c>
      <c r="K371" s="170" t="s">
        <v>816</v>
      </c>
    </row>
    <row r="372" spans="6:11" x14ac:dyDescent="0.35">
      <c r="F372" s="170">
        <v>370</v>
      </c>
      <c r="G372" s="170" t="s">
        <v>336</v>
      </c>
      <c r="H372" s="170" t="s">
        <v>349</v>
      </c>
      <c r="I372" s="170" t="s">
        <v>465</v>
      </c>
      <c r="J372" s="170" t="str">
        <f t="shared" si="6"/>
        <v>Threesevenzero</v>
      </c>
      <c r="K372" s="170" t="s">
        <v>817</v>
      </c>
    </row>
    <row r="373" spans="6:11" ht="17.5" x14ac:dyDescent="0.35">
      <c r="F373" s="170">
        <v>371</v>
      </c>
      <c r="G373" s="170" t="s">
        <v>336</v>
      </c>
      <c r="H373" s="170" t="s">
        <v>349</v>
      </c>
      <c r="I373" s="172" t="s">
        <v>343</v>
      </c>
      <c r="J373" s="170" t="str">
        <f t="shared" si="6"/>
        <v>Threesevenone</v>
      </c>
      <c r="K373" s="170" t="s">
        <v>818</v>
      </c>
    </row>
    <row r="374" spans="6:11" ht="17.5" x14ac:dyDescent="0.35">
      <c r="F374" s="170">
        <v>372</v>
      </c>
      <c r="G374" s="170" t="s">
        <v>336</v>
      </c>
      <c r="H374" s="170" t="s">
        <v>349</v>
      </c>
      <c r="I374" s="172" t="s">
        <v>344</v>
      </c>
      <c r="J374" s="170" t="str">
        <f t="shared" si="6"/>
        <v>Threeseventwo</v>
      </c>
      <c r="K374" s="170" t="s">
        <v>819</v>
      </c>
    </row>
    <row r="375" spans="6:11" ht="17.5" x14ac:dyDescent="0.35">
      <c r="F375" s="170">
        <v>373</v>
      </c>
      <c r="G375" s="170" t="s">
        <v>336</v>
      </c>
      <c r="H375" s="170" t="s">
        <v>349</v>
      </c>
      <c r="I375" s="172" t="s">
        <v>345</v>
      </c>
      <c r="J375" s="170" t="str">
        <f t="shared" si="6"/>
        <v>Threeseventhree</v>
      </c>
      <c r="K375" s="170" t="s">
        <v>820</v>
      </c>
    </row>
    <row r="376" spans="6:11" ht="17.5" x14ac:dyDescent="0.35">
      <c r="F376" s="170">
        <v>374</v>
      </c>
      <c r="G376" s="170" t="s">
        <v>336</v>
      </c>
      <c r="H376" s="170" t="s">
        <v>349</v>
      </c>
      <c r="I376" s="173" t="s">
        <v>346</v>
      </c>
      <c r="J376" s="170" t="str">
        <f t="shared" si="6"/>
        <v>Threesevenfour</v>
      </c>
      <c r="K376" s="170" t="s">
        <v>821</v>
      </c>
    </row>
    <row r="377" spans="6:11" ht="17.5" x14ac:dyDescent="0.35">
      <c r="F377" s="170">
        <v>375</v>
      </c>
      <c r="G377" s="170" t="s">
        <v>336</v>
      </c>
      <c r="H377" s="170" t="s">
        <v>349</v>
      </c>
      <c r="I377" s="173" t="s">
        <v>347</v>
      </c>
      <c r="J377" s="170" t="str">
        <f t="shared" si="6"/>
        <v>Threesevenfive</v>
      </c>
      <c r="K377" s="170" t="s">
        <v>822</v>
      </c>
    </row>
    <row r="378" spans="6:11" ht="17.5" x14ac:dyDescent="0.35">
      <c r="F378" s="170">
        <v>376</v>
      </c>
      <c r="G378" s="170" t="s">
        <v>336</v>
      </c>
      <c r="H378" s="170" t="s">
        <v>349</v>
      </c>
      <c r="I378" s="173" t="s">
        <v>348</v>
      </c>
      <c r="J378" s="170" t="str">
        <f t="shared" si="6"/>
        <v>Threesevensix</v>
      </c>
      <c r="K378" s="170" t="s">
        <v>823</v>
      </c>
    </row>
    <row r="379" spans="6:11" ht="17.5" x14ac:dyDescent="0.35">
      <c r="F379" s="170">
        <v>377</v>
      </c>
      <c r="G379" s="170" t="s">
        <v>336</v>
      </c>
      <c r="H379" s="170" t="s">
        <v>349</v>
      </c>
      <c r="I379" s="173" t="s">
        <v>349</v>
      </c>
      <c r="J379" s="170" t="str">
        <f t="shared" si="6"/>
        <v>Threesevenseven</v>
      </c>
      <c r="K379" s="170" t="s">
        <v>824</v>
      </c>
    </row>
    <row r="380" spans="6:11" ht="17.5" x14ac:dyDescent="0.35">
      <c r="F380" s="170">
        <v>378</v>
      </c>
      <c r="G380" s="170" t="s">
        <v>336</v>
      </c>
      <c r="H380" s="170" t="s">
        <v>349</v>
      </c>
      <c r="I380" s="173" t="s">
        <v>350</v>
      </c>
      <c r="J380" s="170" t="str">
        <f t="shared" si="6"/>
        <v>Threeseveneight</v>
      </c>
      <c r="K380" s="170" t="s">
        <v>825</v>
      </c>
    </row>
    <row r="381" spans="6:11" ht="17.5" x14ac:dyDescent="0.35">
      <c r="F381" s="170">
        <v>379</v>
      </c>
      <c r="G381" s="170" t="s">
        <v>336</v>
      </c>
      <c r="H381" s="170" t="s">
        <v>349</v>
      </c>
      <c r="I381" s="173" t="s">
        <v>351</v>
      </c>
      <c r="J381" s="170" t="str">
        <f t="shared" si="6"/>
        <v>Threesevennine</v>
      </c>
      <c r="K381" s="170" t="s">
        <v>826</v>
      </c>
    </row>
    <row r="382" spans="6:11" x14ac:dyDescent="0.35">
      <c r="F382" s="170">
        <v>380</v>
      </c>
      <c r="G382" s="170" t="s">
        <v>336</v>
      </c>
      <c r="H382" s="170" t="s">
        <v>350</v>
      </c>
      <c r="I382" s="170" t="s">
        <v>465</v>
      </c>
      <c r="J382" s="170" t="str">
        <f t="shared" si="6"/>
        <v>Threeeightzero</v>
      </c>
      <c r="K382" s="170" t="s">
        <v>827</v>
      </c>
    </row>
    <row r="383" spans="6:11" ht="17.5" x14ac:dyDescent="0.35">
      <c r="F383" s="170">
        <v>381</v>
      </c>
      <c r="G383" s="170" t="s">
        <v>336</v>
      </c>
      <c r="H383" s="170" t="s">
        <v>350</v>
      </c>
      <c r="I383" s="172" t="s">
        <v>343</v>
      </c>
      <c r="J383" s="170" t="str">
        <f t="shared" si="6"/>
        <v>Threeeightone</v>
      </c>
      <c r="K383" s="170" t="s">
        <v>828</v>
      </c>
    </row>
    <row r="384" spans="6:11" ht="17.5" x14ac:dyDescent="0.35">
      <c r="F384" s="170">
        <v>382</v>
      </c>
      <c r="G384" s="170" t="s">
        <v>336</v>
      </c>
      <c r="H384" s="170" t="s">
        <v>350</v>
      </c>
      <c r="I384" s="172" t="s">
        <v>344</v>
      </c>
      <c r="J384" s="170" t="str">
        <f t="shared" si="6"/>
        <v>Threeeighttwo</v>
      </c>
      <c r="K384" s="170" t="s">
        <v>829</v>
      </c>
    </row>
    <row r="385" spans="6:11" ht="17.5" x14ac:dyDescent="0.35">
      <c r="F385" s="170">
        <v>383</v>
      </c>
      <c r="G385" s="170" t="s">
        <v>336</v>
      </c>
      <c r="H385" s="170" t="s">
        <v>350</v>
      </c>
      <c r="I385" s="172" t="s">
        <v>345</v>
      </c>
      <c r="J385" s="170" t="str">
        <f t="shared" si="6"/>
        <v>Threeeightthree</v>
      </c>
      <c r="K385" s="170" t="s">
        <v>830</v>
      </c>
    </row>
    <row r="386" spans="6:11" ht="17.5" x14ac:dyDescent="0.35">
      <c r="F386" s="170">
        <v>384</v>
      </c>
      <c r="G386" s="170" t="s">
        <v>336</v>
      </c>
      <c r="H386" s="170" t="s">
        <v>350</v>
      </c>
      <c r="I386" s="173" t="s">
        <v>346</v>
      </c>
      <c r="J386" s="170" t="str">
        <f t="shared" si="6"/>
        <v>Threeeightfour</v>
      </c>
      <c r="K386" s="170" t="s">
        <v>831</v>
      </c>
    </row>
    <row r="387" spans="6:11" ht="17.5" x14ac:dyDescent="0.35">
      <c r="F387" s="170">
        <v>385</v>
      </c>
      <c r="G387" s="170" t="s">
        <v>336</v>
      </c>
      <c r="H387" s="170" t="s">
        <v>350</v>
      </c>
      <c r="I387" s="173" t="s">
        <v>347</v>
      </c>
      <c r="J387" s="170" t="str">
        <f t="shared" si="6"/>
        <v>Threeeightfive</v>
      </c>
      <c r="K387" s="170" t="s">
        <v>832</v>
      </c>
    </row>
    <row r="388" spans="6:11" ht="17.5" x14ac:dyDescent="0.35">
      <c r="F388" s="170">
        <v>386</v>
      </c>
      <c r="G388" s="170" t="s">
        <v>336</v>
      </c>
      <c r="H388" s="170" t="s">
        <v>350</v>
      </c>
      <c r="I388" s="173" t="s">
        <v>348</v>
      </c>
      <c r="J388" s="170" t="str">
        <f t="shared" si="6"/>
        <v>Threeeightsix</v>
      </c>
      <c r="K388" s="170" t="s">
        <v>833</v>
      </c>
    </row>
    <row r="389" spans="6:11" ht="17.5" x14ac:dyDescent="0.35">
      <c r="F389" s="170">
        <v>387</v>
      </c>
      <c r="G389" s="170" t="s">
        <v>336</v>
      </c>
      <c r="H389" s="170" t="s">
        <v>350</v>
      </c>
      <c r="I389" s="173" t="s">
        <v>349</v>
      </c>
      <c r="J389" s="170" t="str">
        <f t="shared" si="6"/>
        <v>Threeeightseven</v>
      </c>
      <c r="K389" s="170" t="s">
        <v>834</v>
      </c>
    </row>
    <row r="390" spans="6:11" ht="17.5" x14ac:dyDescent="0.35">
      <c r="F390" s="170">
        <v>388</v>
      </c>
      <c r="G390" s="170" t="s">
        <v>336</v>
      </c>
      <c r="H390" s="170" t="s">
        <v>350</v>
      </c>
      <c r="I390" s="173" t="s">
        <v>350</v>
      </c>
      <c r="J390" s="170" t="str">
        <f t="shared" si="6"/>
        <v>Threeeighteight</v>
      </c>
      <c r="K390" s="170" t="s">
        <v>835</v>
      </c>
    </row>
    <row r="391" spans="6:11" ht="17.5" x14ac:dyDescent="0.35">
      <c r="F391" s="170">
        <v>389</v>
      </c>
      <c r="G391" s="170" t="s">
        <v>336</v>
      </c>
      <c r="H391" s="170" t="s">
        <v>350</v>
      </c>
      <c r="I391" s="173" t="s">
        <v>351</v>
      </c>
      <c r="J391" s="170" t="str">
        <f t="shared" si="6"/>
        <v>Threeeightnine</v>
      </c>
      <c r="K391" s="170" t="s">
        <v>836</v>
      </c>
    </row>
    <row r="392" spans="6:11" ht="17.5" x14ac:dyDescent="0.35">
      <c r="F392" s="170">
        <v>390</v>
      </c>
      <c r="G392" s="170" t="s">
        <v>336</v>
      </c>
      <c r="H392" s="170" t="s">
        <v>351</v>
      </c>
      <c r="I392" s="177" t="s">
        <v>465</v>
      </c>
      <c r="J392" s="170" t="str">
        <f t="shared" si="6"/>
        <v>Threeninezero</v>
      </c>
      <c r="K392" s="170" t="s">
        <v>837</v>
      </c>
    </row>
    <row r="393" spans="6:11" ht="17.5" x14ac:dyDescent="0.35">
      <c r="F393" s="170">
        <v>391</v>
      </c>
      <c r="G393" s="170" t="s">
        <v>336</v>
      </c>
      <c r="H393" s="170" t="s">
        <v>351</v>
      </c>
      <c r="I393" s="172" t="s">
        <v>343</v>
      </c>
      <c r="J393" s="170" t="str">
        <f t="shared" si="6"/>
        <v>Threenineone</v>
      </c>
      <c r="K393" s="170" t="s">
        <v>838</v>
      </c>
    </row>
    <row r="394" spans="6:11" ht="17.5" x14ac:dyDescent="0.35">
      <c r="F394" s="170">
        <v>392</v>
      </c>
      <c r="G394" s="170" t="s">
        <v>336</v>
      </c>
      <c r="H394" s="170" t="s">
        <v>351</v>
      </c>
      <c r="I394" s="172" t="s">
        <v>344</v>
      </c>
      <c r="J394" s="170" t="str">
        <f t="shared" si="6"/>
        <v>Threeninetwo</v>
      </c>
      <c r="K394" s="170" t="s">
        <v>839</v>
      </c>
    </row>
    <row r="395" spans="6:11" ht="17.5" x14ac:dyDescent="0.35">
      <c r="F395" s="170">
        <v>393</v>
      </c>
      <c r="G395" s="170" t="s">
        <v>336</v>
      </c>
      <c r="H395" s="170" t="s">
        <v>351</v>
      </c>
      <c r="I395" s="172" t="s">
        <v>345</v>
      </c>
      <c r="J395" s="170" t="str">
        <f t="shared" si="6"/>
        <v>Threeninethree</v>
      </c>
      <c r="K395" s="170" t="s">
        <v>840</v>
      </c>
    </row>
    <row r="396" spans="6:11" ht="17.5" x14ac:dyDescent="0.35">
      <c r="F396" s="170">
        <v>394</v>
      </c>
      <c r="G396" s="170" t="s">
        <v>336</v>
      </c>
      <c r="H396" s="170" t="s">
        <v>351</v>
      </c>
      <c r="I396" s="173" t="s">
        <v>346</v>
      </c>
      <c r="J396" s="170" t="str">
        <f t="shared" si="6"/>
        <v>Threeninefour</v>
      </c>
      <c r="K396" s="170" t="s">
        <v>841</v>
      </c>
    </row>
    <row r="397" spans="6:11" ht="17.5" x14ac:dyDescent="0.35">
      <c r="F397" s="170">
        <v>395</v>
      </c>
      <c r="G397" s="170" t="s">
        <v>336</v>
      </c>
      <c r="H397" s="170" t="s">
        <v>351</v>
      </c>
      <c r="I397" s="173" t="s">
        <v>347</v>
      </c>
      <c r="J397" s="170" t="str">
        <f t="shared" si="6"/>
        <v>Threeninefive</v>
      </c>
      <c r="K397" s="170" t="s">
        <v>842</v>
      </c>
    </row>
    <row r="398" spans="6:11" ht="17.5" x14ac:dyDescent="0.35">
      <c r="F398" s="170">
        <v>396</v>
      </c>
      <c r="G398" s="170" t="s">
        <v>336</v>
      </c>
      <c r="H398" s="170" t="s">
        <v>351</v>
      </c>
      <c r="I398" s="173" t="s">
        <v>348</v>
      </c>
      <c r="J398" s="170" t="str">
        <f t="shared" si="6"/>
        <v>Threeninesix</v>
      </c>
      <c r="K398" s="170" t="s">
        <v>843</v>
      </c>
    </row>
    <row r="399" spans="6:11" ht="17.5" x14ac:dyDescent="0.35">
      <c r="F399" s="170">
        <v>397</v>
      </c>
      <c r="G399" s="170" t="s">
        <v>336</v>
      </c>
      <c r="H399" s="170" t="s">
        <v>351</v>
      </c>
      <c r="I399" s="173" t="s">
        <v>349</v>
      </c>
      <c r="J399" s="170" t="str">
        <f t="shared" si="6"/>
        <v>Threenineseven</v>
      </c>
      <c r="K399" s="170" t="s">
        <v>844</v>
      </c>
    </row>
    <row r="400" spans="6:11" ht="17.5" x14ac:dyDescent="0.35">
      <c r="F400" s="170">
        <v>398</v>
      </c>
      <c r="G400" s="170" t="s">
        <v>336</v>
      </c>
      <c r="H400" s="170" t="s">
        <v>351</v>
      </c>
      <c r="I400" s="173" t="s">
        <v>350</v>
      </c>
      <c r="J400" s="170" t="str">
        <f t="shared" si="6"/>
        <v>Threenineeight</v>
      </c>
      <c r="K400" s="170" t="s">
        <v>845</v>
      </c>
    </row>
    <row r="401" spans="6:11" ht="17.5" x14ac:dyDescent="0.35">
      <c r="F401" s="170">
        <v>399</v>
      </c>
      <c r="G401" s="170" t="s">
        <v>336</v>
      </c>
      <c r="H401" s="170" t="s">
        <v>351</v>
      </c>
      <c r="I401" s="173" t="s">
        <v>351</v>
      </c>
      <c r="J401" s="170" t="str">
        <f t="shared" si="6"/>
        <v>Threeninenine</v>
      </c>
      <c r="K401" s="170" t="s">
        <v>846</v>
      </c>
    </row>
    <row r="402" spans="6:11" ht="17.5" x14ac:dyDescent="0.35">
      <c r="F402" s="170">
        <v>400</v>
      </c>
      <c r="G402" s="170" t="s">
        <v>337</v>
      </c>
      <c r="H402" s="170" t="s">
        <v>465</v>
      </c>
      <c r="I402" s="177" t="s">
        <v>465</v>
      </c>
      <c r="J402" s="170" t="str">
        <f t="shared" si="6"/>
        <v>Fourzerozero</v>
      </c>
      <c r="K402" s="170" t="s">
        <v>847</v>
      </c>
    </row>
    <row r="403" spans="6:11" ht="17.5" x14ac:dyDescent="0.35">
      <c r="F403" s="170">
        <v>401</v>
      </c>
      <c r="G403" s="170" t="s">
        <v>337</v>
      </c>
      <c r="H403" s="170" t="s">
        <v>465</v>
      </c>
      <c r="I403" s="172" t="s">
        <v>343</v>
      </c>
      <c r="J403" s="170" t="str">
        <f t="shared" si="6"/>
        <v>Fourzeroone</v>
      </c>
      <c r="K403" s="170" t="s">
        <v>848</v>
      </c>
    </row>
    <row r="404" spans="6:11" ht="17.5" x14ac:dyDescent="0.35">
      <c r="F404" s="170">
        <v>402</v>
      </c>
      <c r="G404" s="170" t="s">
        <v>337</v>
      </c>
      <c r="H404" s="170" t="s">
        <v>465</v>
      </c>
      <c r="I404" s="172" t="s">
        <v>344</v>
      </c>
      <c r="J404" s="170" t="str">
        <f t="shared" si="6"/>
        <v>Fourzerotwo</v>
      </c>
      <c r="K404" s="170" t="s">
        <v>849</v>
      </c>
    </row>
    <row r="405" spans="6:11" ht="17.5" x14ac:dyDescent="0.35">
      <c r="F405" s="170">
        <v>403</v>
      </c>
      <c r="G405" s="170" t="s">
        <v>337</v>
      </c>
      <c r="H405" s="170" t="s">
        <v>465</v>
      </c>
      <c r="I405" s="172" t="s">
        <v>345</v>
      </c>
      <c r="J405" s="170" t="str">
        <f t="shared" si="6"/>
        <v>Fourzerothree</v>
      </c>
      <c r="K405" s="170" t="s">
        <v>850</v>
      </c>
    </row>
    <row r="406" spans="6:11" ht="17.5" x14ac:dyDescent="0.35">
      <c r="F406" s="170">
        <v>404</v>
      </c>
      <c r="G406" s="170" t="s">
        <v>337</v>
      </c>
      <c r="H406" s="170" t="s">
        <v>465</v>
      </c>
      <c r="I406" s="173" t="s">
        <v>346</v>
      </c>
      <c r="J406" s="170" t="str">
        <f t="shared" si="6"/>
        <v>Fourzerofour</v>
      </c>
      <c r="K406" s="170" t="s">
        <v>851</v>
      </c>
    </row>
    <row r="407" spans="6:11" ht="17.5" x14ac:dyDescent="0.35">
      <c r="F407" s="170">
        <v>405</v>
      </c>
      <c r="G407" s="170" t="s">
        <v>337</v>
      </c>
      <c r="H407" s="170" t="s">
        <v>465</v>
      </c>
      <c r="I407" s="173" t="s">
        <v>347</v>
      </c>
      <c r="J407" s="170" t="str">
        <f t="shared" si="6"/>
        <v>Fourzerofive</v>
      </c>
      <c r="K407" s="170" t="s">
        <v>852</v>
      </c>
    </row>
    <row r="408" spans="6:11" ht="17.5" x14ac:dyDescent="0.35">
      <c r="F408" s="170">
        <v>406</v>
      </c>
      <c r="G408" s="170" t="s">
        <v>337</v>
      </c>
      <c r="H408" s="170" t="s">
        <v>465</v>
      </c>
      <c r="I408" s="173" t="s">
        <v>348</v>
      </c>
      <c r="J408" s="170" t="str">
        <f t="shared" si="6"/>
        <v>Fourzerosix</v>
      </c>
      <c r="K408" s="170" t="s">
        <v>853</v>
      </c>
    </row>
    <row r="409" spans="6:11" ht="17.5" x14ac:dyDescent="0.35">
      <c r="F409" s="170">
        <v>407</v>
      </c>
      <c r="G409" s="170" t="s">
        <v>337</v>
      </c>
      <c r="H409" s="170" t="s">
        <v>465</v>
      </c>
      <c r="I409" s="173" t="s">
        <v>349</v>
      </c>
      <c r="J409" s="170" t="str">
        <f t="shared" si="6"/>
        <v>Fourzeroseven</v>
      </c>
      <c r="K409" s="170" t="s">
        <v>854</v>
      </c>
    </row>
    <row r="410" spans="6:11" ht="17.5" x14ac:dyDescent="0.35">
      <c r="F410" s="170">
        <v>408</v>
      </c>
      <c r="G410" s="170" t="s">
        <v>337</v>
      </c>
      <c r="H410" s="170" t="s">
        <v>465</v>
      </c>
      <c r="I410" s="173" t="s">
        <v>350</v>
      </c>
      <c r="J410" s="170" t="str">
        <f t="shared" si="6"/>
        <v>Fourzeroeight</v>
      </c>
      <c r="K410" s="170" t="s">
        <v>855</v>
      </c>
    </row>
    <row r="411" spans="6:11" ht="17.5" x14ac:dyDescent="0.35">
      <c r="F411" s="170">
        <v>409</v>
      </c>
      <c r="G411" s="170" t="s">
        <v>337</v>
      </c>
      <c r="H411" s="170" t="s">
        <v>465</v>
      </c>
      <c r="I411" s="173" t="s">
        <v>351</v>
      </c>
      <c r="J411" s="170" t="str">
        <f t="shared" si="6"/>
        <v>Fourzeronine</v>
      </c>
      <c r="K411" s="170" t="s">
        <v>856</v>
      </c>
    </row>
    <row r="412" spans="6:11" ht="17.5" x14ac:dyDescent="0.35">
      <c r="F412" s="170">
        <v>410</v>
      </c>
      <c r="G412" s="170" t="s">
        <v>337</v>
      </c>
      <c r="H412" s="172" t="s">
        <v>343</v>
      </c>
      <c r="I412" s="170" t="s">
        <v>465</v>
      </c>
      <c r="J412" s="170" t="str">
        <f t="shared" si="6"/>
        <v>Fouronezero</v>
      </c>
      <c r="K412" s="170" t="s">
        <v>857</v>
      </c>
    </row>
    <row r="413" spans="6:11" ht="17.5" x14ac:dyDescent="0.35">
      <c r="F413" s="170">
        <v>411</v>
      </c>
      <c r="G413" s="170" t="s">
        <v>337</v>
      </c>
      <c r="H413" s="172" t="s">
        <v>343</v>
      </c>
      <c r="I413" s="172" t="s">
        <v>343</v>
      </c>
      <c r="J413" s="170" t="str">
        <f t="shared" si="6"/>
        <v>Fouroneone</v>
      </c>
      <c r="K413" s="170" t="s">
        <v>858</v>
      </c>
    </row>
    <row r="414" spans="6:11" ht="17.5" x14ac:dyDescent="0.35">
      <c r="F414" s="170">
        <v>412</v>
      </c>
      <c r="G414" s="170" t="s">
        <v>337</v>
      </c>
      <c r="H414" s="172" t="s">
        <v>343</v>
      </c>
      <c r="I414" s="172" t="s">
        <v>344</v>
      </c>
      <c r="J414" s="170" t="str">
        <f t="shared" si="6"/>
        <v>Fouronetwo</v>
      </c>
      <c r="K414" s="170" t="s">
        <v>859</v>
      </c>
    </row>
    <row r="415" spans="6:11" ht="17.5" x14ac:dyDescent="0.35">
      <c r="F415" s="170">
        <v>413</v>
      </c>
      <c r="G415" s="170" t="s">
        <v>337</v>
      </c>
      <c r="H415" s="172" t="s">
        <v>343</v>
      </c>
      <c r="I415" s="172" t="s">
        <v>345</v>
      </c>
      <c r="J415" s="170" t="str">
        <f t="shared" si="6"/>
        <v>Fouronethree</v>
      </c>
      <c r="K415" s="170" t="s">
        <v>860</v>
      </c>
    </row>
    <row r="416" spans="6:11" ht="17.5" x14ac:dyDescent="0.35">
      <c r="F416" s="170">
        <v>414</v>
      </c>
      <c r="G416" s="170" t="s">
        <v>337</v>
      </c>
      <c r="H416" s="172" t="s">
        <v>343</v>
      </c>
      <c r="I416" s="173" t="s">
        <v>346</v>
      </c>
      <c r="J416" s="170" t="str">
        <f t="shared" si="6"/>
        <v>Fouronefour</v>
      </c>
      <c r="K416" s="170" t="s">
        <v>861</v>
      </c>
    </row>
    <row r="417" spans="6:11" ht="17.5" x14ac:dyDescent="0.35">
      <c r="F417" s="170">
        <v>415</v>
      </c>
      <c r="G417" s="170" t="s">
        <v>337</v>
      </c>
      <c r="H417" s="172" t="s">
        <v>343</v>
      </c>
      <c r="I417" s="173" t="s">
        <v>347</v>
      </c>
      <c r="J417" s="170" t="str">
        <f t="shared" si="6"/>
        <v>Fouronefive</v>
      </c>
      <c r="K417" s="170" t="s">
        <v>862</v>
      </c>
    </row>
    <row r="418" spans="6:11" ht="17.5" x14ac:dyDescent="0.35">
      <c r="F418" s="170">
        <v>416</v>
      </c>
      <c r="G418" s="170" t="s">
        <v>337</v>
      </c>
      <c r="H418" s="172" t="s">
        <v>343</v>
      </c>
      <c r="I418" s="173" t="s">
        <v>348</v>
      </c>
      <c r="J418" s="170" t="str">
        <f t="shared" si="6"/>
        <v>Fouronesix</v>
      </c>
      <c r="K418" s="170" t="s">
        <v>863</v>
      </c>
    </row>
    <row r="419" spans="6:11" ht="17.5" x14ac:dyDescent="0.35">
      <c r="F419" s="170">
        <v>417</v>
      </c>
      <c r="G419" s="170" t="s">
        <v>337</v>
      </c>
      <c r="H419" s="172" t="s">
        <v>343</v>
      </c>
      <c r="I419" s="173" t="s">
        <v>349</v>
      </c>
      <c r="J419" s="170" t="str">
        <f t="shared" si="6"/>
        <v>Fouroneseven</v>
      </c>
      <c r="K419" s="170" t="s">
        <v>864</v>
      </c>
    </row>
    <row r="420" spans="6:11" ht="17.5" x14ac:dyDescent="0.35">
      <c r="F420" s="170">
        <v>418</v>
      </c>
      <c r="G420" s="170" t="s">
        <v>337</v>
      </c>
      <c r="H420" s="172" t="s">
        <v>343</v>
      </c>
      <c r="I420" s="173" t="s">
        <v>350</v>
      </c>
      <c r="J420" s="170" t="str">
        <f t="shared" si="6"/>
        <v>Fouroneeight</v>
      </c>
      <c r="K420" s="170" t="s">
        <v>865</v>
      </c>
    </row>
    <row r="421" spans="6:11" ht="17.5" x14ac:dyDescent="0.35">
      <c r="F421" s="170">
        <v>419</v>
      </c>
      <c r="G421" s="170" t="s">
        <v>337</v>
      </c>
      <c r="H421" s="172" t="s">
        <v>343</v>
      </c>
      <c r="I421" s="173" t="s">
        <v>351</v>
      </c>
      <c r="J421" s="170" t="str">
        <f t="shared" si="6"/>
        <v>Fouronenine</v>
      </c>
      <c r="K421" s="170" t="s">
        <v>866</v>
      </c>
    </row>
    <row r="422" spans="6:11" x14ac:dyDescent="0.35">
      <c r="F422" s="170">
        <v>420</v>
      </c>
      <c r="G422" s="170" t="s">
        <v>337</v>
      </c>
      <c r="H422" s="170" t="s">
        <v>344</v>
      </c>
      <c r="I422" s="170" t="s">
        <v>465</v>
      </c>
      <c r="J422" s="170" t="str">
        <f t="shared" ref="J422:J485" si="7">G422&amp;H422&amp;I422</f>
        <v>Fourtwozero</v>
      </c>
      <c r="K422" s="170" t="s">
        <v>867</v>
      </c>
    </row>
    <row r="423" spans="6:11" ht="17.5" x14ac:dyDescent="0.35">
      <c r="F423" s="170">
        <v>421</v>
      </c>
      <c r="G423" s="170" t="s">
        <v>337</v>
      </c>
      <c r="H423" s="170" t="s">
        <v>344</v>
      </c>
      <c r="I423" s="172" t="s">
        <v>343</v>
      </c>
      <c r="J423" s="170" t="str">
        <f t="shared" si="7"/>
        <v>Fourtwoone</v>
      </c>
      <c r="K423" s="170" t="s">
        <v>868</v>
      </c>
    </row>
    <row r="424" spans="6:11" ht="17.5" x14ac:dyDescent="0.35">
      <c r="F424" s="170">
        <v>422</v>
      </c>
      <c r="G424" s="170" t="s">
        <v>337</v>
      </c>
      <c r="H424" s="170" t="s">
        <v>344</v>
      </c>
      <c r="I424" s="172" t="s">
        <v>344</v>
      </c>
      <c r="J424" s="170" t="str">
        <f t="shared" si="7"/>
        <v>Fourtwotwo</v>
      </c>
      <c r="K424" s="170" t="s">
        <v>869</v>
      </c>
    </row>
    <row r="425" spans="6:11" ht="17.5" x14ac:dyDescent="0.35">
      <c r="F425" s="170">
        <v>423</v>
      </c>
      <c r="G425" s="170" t="s">
        <v>337</v>
      </c>
      <c r="H425" s="170" t="s">
        <v>344</v>
      </c>
      <c r="I425" s="172" t="s">
        <v>345</v>
      </c>
      <c r="J425" s="170" t="str">
        <f t="shared" si="7"/>
        <v>Fourtwothree</v>
      </c>
      <c r="K425" s="170" t="s">
        <v>870</v>
      </c>
    </row>
    <row r="426" spans="6:11" ht="17.5" x14ac:dyDescent="0.35">
      <c r="F426" s="170">
        <v>424</v>
      </c>
      <c r="G426" s="170" t="s">
        <v>337</v>
      </c>
      <c r="H426" s="170" t="s">
        <v>344</v>
      </c>
      <c r="I426" s="173" t="s">
        <v>346</v>
      </c>
      <c r="J426" s="170" t="str">
        <f t="shared" si="7"/>
        <v>Fourtwofour</v>
      </c>
      <c r="K426" s="170" t="s">
        <v>871</v>
      </c>
    </row>
    <row r="427" spans="6:11" ht="17.5" x14ac:dyDescent="0.35">
      <c r="F427" s="170">
        <v>425</v>
      </c>
      <c r="G427" s="170" t="s">
        <v>337</v>
      </c>
      <c r="H427" s="170" t="s">
        <v>344</v>
      </c>
      <c r="I427" s="173" t="s">
        <v>347</v>
      </c>
      <c r="J427" s="170" t="str">
        <f t="shared" si="7"/>
        <v>Fourtwofive</v>
      </c>
      <c r="K427" s="170" t="s">
        <v>872</v>
      </c>
    </row>
    <row r="428" spans="6:11" ht="17.5" x14ac:dyDescent="0.35">
      <c r="F428" s="170">
        <v>426</v>
      </c>
      <c r="G428" s="170" t="s">
        <v>337</v>
      </c>
      <c r="H428" s="170" t="s">
        <v>344</v>
      </c>
      <c r="I428" s="173" t="s">
        <v>348</v>
      </c>
      <c r="J428" s="170" t="str">
        <f t="shared" si="7"/>
        <v>Fourtwosix</v>
      </c>
      <c r="K428" s="170" t="s">
        <v>873</v>
      </c>
    </row>
    <row r="429" spans="6:11" ht="17.5" x14ac:dyDescent="0.35">
      <c r="F429" s="170">
        <v>427</v>
      </c>
      <c r="G429" s="170" t="s">
        <v>337</v>
      </c>
      <c r="H429" s="170" t="s">
        <v>344</v>
      </c>
      <c r="I429" s="173" t="s">
        <v>349</v>
      </c>
      <c r="J429" s="170" t="str">
        <f t="shared" si="7"/>
        <v>Fourtwoseven</v>
      </c>
      <c r="K429" s="170" t="s">
        <v>874</v>
      </c>
    </row>
    <row r="430" spans="6:11" ht="17.5" x14ac:dyDescent="0.35">
      <c r="F430" s="170">
        <v>428</v>
      </c>
      <c r="G430" s="170" t="s">
        <v>337</v>
      </c>
      <c r="H430" s="170" t="s">
        <v>344</v>
      </c>
      <c r="I430" s="173" t="s">
        <v>350</v>
      </c>
      <c r="J430" s="170" t="str">
        <f t="shared" si="7"/>
        <v>Fourtwoeight</v>
      </c>
      <c r="K430" s="170" t="s">
        <v>875</v>
      </c>
    </row>
    <row r="431" spans="6:11" ht="17.5" x14ac:dyDescent="0.35">
      <c r="F431" s="170">
        <v>429</v>
      </c>
      <c r="G431" s="170" t="s">
        <v>337</v>
      </c>
      <c r="H431" s="170" t="s">
        <v>344</v>
      </c>
      <c r="I431" s="173" t="s">
        <v>351</v>
      </c>
      <c r="J431" s="170" t="str">
        <f t="shared" si="7"/>
        <v>Fourtwonine</v>
      </c>
      <c r="K431" s="170" t="s">
        <v>876</v>
      </c>
    </row>
    <row r="432" spans="6:11" ht="17.5" x14ac:dyDescent="0.35">
      <c r="F432" s="170">
        <v>430</v>
      </c>
      <c r="G432" s="170" t="s">
        <v>337</v>
      </c>
      <c r="H432" s="170" t="s">
        <v>345</v>
      </c>
      <c r="I432" s="177" t="s">
        <v>465</v>
      </c>
      <c r="J432" s="170" t="str">
        <f t="shared" si="7"/>
        <v>Fourthreezero</v>
      </c>
      <c r="K432" s="170" t="s">
        <v>877</v>
      </c>
    </row>
    <row r="433" spans="6:11" ht="17.5" x14ac:dyDescent="0.35">
      <c r="F433" s="170">
        <v>431</v>
      </c>
      <c r="G433" s="170" t="s">
        <v>337</v>
      </c>
      <c r="H433" s="170" t="s">
        <v>345</v>
      </c>
      <c r="I433" s="172" t="s">
        <v>343</v>
      </c>
      <c r="J433" s="170" t="str">
        <f t="shared" si="7"/>
        <v>Fourthreeone</v>
      </c>
      <c r="K433" s="170" t="s">
        <v>878</v>
      </c>
    </row>
    <row r="434" spans="6:11" ht="17.5" x14ac:dyDescent="0.35">
      <c r="F434" s="170">
        <v>432</v>
      </c>
      <c r="G434" s="170" t="s">
        <v>337</v>
      </c>
      <c r="H434" s="170" t="s">
        <v>345</v>
      </c>
      <c r="I434" s="172" t="s">
        <v>344</v>
      </c>
      <c r="J434" s="170" t="str">
        <f t="shared" si="7"/>
        <v>Fourthreetwo</v>
      </c>
      <c r="K434" s="170" t="s">
        <v>879</v>
      </c>
    </row>
    <row r="435" spans="6:11" ht="17.5" x14ac:dyDescent="0.35">
      <c r="F435" s="170">
        <v>433</v>
      </c>
      <c r="G435" s="170" t="s">
        <v>337</v>
      </c>
      <c r="H435" s="170" t="s">
        <v>345</v>
      </c>
      <c r="I435" s="172" t="s">
        <v>345</v>
      </c>
      <c r="J435" s="170" t="str">
        <f t="shared" si="7"/>
        <v>Fourthreethree</v>
      </c>
      <c r="K435" s="170" t="s">
        <v>880</v>
      </c>
    </row>
    <row r="436" spans="6:11" ht="17.5" x14ac:dyDescent="0.35">
      <c r="F436" s="170">
        <v>434</v>
      </c>
      <c r="G436" s="170" t="s">
        <v>337</v>
      </c>
      <c r="H436" s="170" t="s">
        <v>345</v>
      </c>
      <c r="I436" s="173" t="s">
        <v>346</v>
      </c>
      <c r="J436" s="170" t="str">
        <f t="shared" si="7"/>
        <v>Fourthreefour</v>
      </c>
      <c r="K436" s="170" t="s">
        <v>881</v>
      </c>
    </row>
    <row r="437" spans="6:11" ht="17.5" x14ac:dyDescent="0.35">
      <c r="F437" s="170">
        <v>435</v>
      </c>
      <c r="G437" s="170" t="s">
        <v>337</v>
      </c>
      <c r="H437" s="170" t="s">
        <v>345</v>
      </c>
      <c r="I437" s="173" t="s">
        <v>347</v>
      </c>
      <c r="J437" s="170" t="str">
        <f t="shared" si="7"/>
        <v>Fourthreefive</v>
      </c>
      <c r="K437" s="170" t="s">
        <v>882</v>
      </c>
    </row>
    <row r="438" spans="6:11" ht="17.5" x14ac:dyDescent="0.35">
      <c r="F438" s="170">
        <v>436</v>
      </c>
      <c r="G438" s="170" t="s">
        <v>337</v>
      </c>
      <c r="H438" s="170" t="s">
        <v>345</v>
      </c>
      <c r="I438" s="173" t="s">
        <v>348</v>
      </c>
      <c r="J438" s="170" t="str">
        <f t="shared" si="7"/>
        <v>Fourthreesix</v>
      </c>
      <c r="K438" s="170" t="s">
        <v>883</v>
      </c>
    </row>
    <row r="439" spans="6:11" ht="17.5" x14ac:dyDescent="0.35">
      <c r="F439" s="170">
        <v>437</v>
      </c>
      <c r="G439" s="170" t="s">
        <v>337</v>
      </c>
      <c r="H439" s="170" t="s">
        <v>345</v>
      </c>
      <c r="I439" s="173" t="s">
        <v>349</v>
      </c>
      <c r="J439" s="170" t="str">
        <f t="shared" si="7"/>
        <v>Fourthreeseven</v>
      </c>
      <c r="K439" s="170" t="s">
        <v>884</v>
      </c>
    </row>
    <row r="440" spans="6:11" ht="17.5" x14ac:dyDescent="0.35">
      <c r="F440" s="170">
        <v>438</v>
      </c>
      <c r="G440" s="170" t="s">
        <v>337</v>
      </c>
      <c r="H440" s="170" t="s">
        <v>345</v>
      </c>
      <c r="I440" s="173" t="s">
        <v>350</v>
      </c>
      <c r="J440" s="170" t="str">
        <f t="shared" si="7"/>
        <v>Fourthreeeight</v>
      </c>
      <c r="K440" s="170" t="s">
        <v>885</v>
      </c>
    </row>
    <row r="441" spans="6:11" ht="17.5" x14ac:dyDescent="0.35">
      <c r="F441" s="170">
        <v>439</v>
      </c>
      <c r="G441" s="170" t="s">
        <v>337</v>
      </c>
      <c r="H441" s="170" t="s">
        <v>345</v>
      </c>
      <c r="I441" s="173" t="s">
        <v>351</v>
      </c>
      <c r="J441" s="170" t="str">
        <f t="shared" si="7"/>
        <v>Fourthreenine</v>
      </c>
      <c r="K441" s="170" t="s">
        <v>886</v>
      </c>
    </row>
    <row r="442" spans="6:11" ht="17.5" x14ac:dyDescent="0.35">
      <c r="F442" s="170">
        <v>440</v>
      </c>
      <c r="G442" s="170" t="s">
        <v>337</v>
      </c>
      <c r="H442" s="170" t="s">
        <v>346</v>
      </c>
      <c r="I442" s="177" t="s">
        <v>465</v>
      </c>
      <c r="J442" s="170" t="str">
        <f t="shared" si="7"/>
        <v>Fourfourzero</v>
      </c>
      <c r="K442" s="170" t="s">
        <v>887</v>
      </c>
    </row>
    <row r="443" spans="6:11" ht="17.5" x14ac:dyDescent="0.35">
      <c r="F443" s="170">
        <v>441</v>
      </c>
      <c r="G443" s="170" t="s">
        <v>337</v>
      </c>
      <c r="H443" s="170" t="s">
        <v>346</v>
      </c>
      <c r="I443" s="172" t="s">
        <v>343</v>
      </c>
      <c r="J443" s="170" t="str">
        <f t="shared" si="7"/>
        <v>Fourfourone</v>
      </c>
      <c r="K443" s="170" t="s">
        <v>888</v>
      </c>
    </row>
    <row r="444" spans="6:11" ht="17.5" x14ac:dyDescent="0.35">
      <c r="F444" s="170">
        <v>442</v>
      </c>
      <c r="G444" s="170" t="s">
        <v>337</v>
      </c>
      <c r="H444" s="170" t="s">
        <v>346</v>
      </c>
      <c r="I444" s="172" t="s">
        <v>344</v>
      </c>
      <c r="J444" s="170" t="str">
        <f t="shared" si="7"/>
        <v>Fourfourtwo</v>
      </c>
      <c r="K444" s="170" t="s">
        <v>889</v>
      </c>
    </row>
    <row r="445" spans="6:11" ht="17.5" x14ac:dyDescent="0.35">
      <c r="F445" s="170">
        <v>443</v>
      </c>
      <c r="G445" s="170" t="s">
        <v>337</v>
      </c>
      <c r="H445" s="170" t="s">
        <v>346</v>
      </c>
      <c r="I445" s="172" t="s">
        <v>345</v>
      </c>
      <c r="J445" s="170" t="str">
        <f t="shared" si="7"/>
        <v>Fourfourthree</v>
      </c>
      <c r="K445" s="170" t="s">
        <v>890</v>
      </c>
    </row>
    <row r="446" spans="6:11" ht="17.5" x14ac:dyDescent="0.35">
      <c r="F446" s="170">
        <v>444</v>
      </c>
      <c r="G446" s="170" t="s">
        <v>337</v>
      </c>
      <c r="H446" s="170" t="s">
        <v>346</v>
      </c>
      <c r="I446" s="173" t="s">
        <v>346</v>
      </c>
      <c r="J446" s="170" t="str">
        <f t="shared" si="7"/>
        <v>Fourfourfour</v>
      </c>
      <c r="K446" s="170" t="s">
        <v>891</v>
      </c>
    </row>
    <row r="447" spans="6:11" ht="17.5" x14ac:dyDescent="0.35">
      <c r="F447" s="170">
        <v>445</v>
      </c>
      <c r="G447" s="170" t="s">
        <v>337</v>
      </c>
      <c r="H447" s="170" t="s">
        <v>346</v>
      </c>
      <c r="I447" s="173" t="s">
        <v>347</v>
      </c>
      <c r="J447" s="170" t="str">
        <f t="shared" si="7"/>
        <v>Fourfourfive</v>
      </c>
      <c r="K447" s="170" t="s">
        <v>892</v>
      </c>
    </row>
    <row r="448" spans="6:11" ht="17.5" x14ac:dyDescent="0.35">
      <c r="F448" s="170">
        <v>446</v>
      </c>
      <c r="G448" s="170" t="s">
        <v>337</v>
      </c>
      <c r="H448" s="170" t="s">
        <v>346</v>
      </c>
      <c r="I448" s="173" t="s">
        <v>348</v>
      </c>
      <c r="J448" s="170" t="str">
        <f t="shared" si="7"/>
        <v>Fourfoursix</v>
      </c>
      <c r="K448" s="170" t="s">
        <v>893</v>
      </c>
    </row>
    <row r="449" spans="6:11" ht="17.5" x14ac:dyDescent="0.35">
      <c r="F449" s="170">
        <v>447</v>
      </c>
      <c r="G449" s="170" t="s">
        <v>337</v>
      </c>
      <c r="H449" s="170" t="s">
        <v>346</v>
      </c>
      <c r="I449" s="173" t="s">
        <v>349</v>
      </c>
      <c r="J449" s="170" t="str">
        <f t="shared" si="7"/>
        <v>Fourfourseven</v>
      </c>
      <c r="K449" s="170" t="s">
        <v>894</v>
      </c>
    </row>
    <row r="450" spans="6:11" ht="17.5" x14ac:dyDescent="0.35">
      <c r="F450" s="170">
        <v>448</v>
      </c>
      <c r="G450" s="170" t="s">
        <v>337</v>
      </c>
      <c r="H450" s="170" t="s">
        <v>346</v>
      </c>
      <c r="I450" s="173" t="s">
        <v>350</v>
      </c>
      <c r="J450" s="170" t="str">
        <f t="shared" si="7"/>
        <v>Fourfoureight</v>
      </c>
      <c r="K450" s="170" t="s">
        <v>895</v>
      </c>
    </row>
    <row r="451" spans="6:11" ht="17.5" x14ac:dyDescent="0.35">
      <c r="F451" s="170">
        <v>449</v>
      </c>
      <c r="G451" s="170" t="s">
        <v>337</v>
      </c>
      <c r="H451" s="170" t="s">
        <v>346</v>
      </c>
      <c r="I451" s="173" t="s">
        <v>351</v>
      </c>
      <c r="J451" s="170" t="str">
        <f t="shared" si="7"/>
        <v>Fourfournine</v>
      </c>
      <c r="K451" s="170" t="s">
        <v>896</v>
      </c>
    </row>
    <row r="452" spans="6:11" x14ac:dyDescent="0.35">
      <c r="F452" s="170">
        <v>450</v>
      </c>
      <c r="G452" s="170" t="s">
        <v>337</v>
      </c>
      <c r="H452" s="170" t="s">
        <v>347</v>
      </c>
      <c r="I452" s="170" t="s">
        <v>465</v>
      </c>
      <c r="J452" s="170" t="str">
        <f t="shared" si="7"/>
        <v>Fourfivezero</v>
      </c>
      <c r="K452" s="170" t="s">
        <v>897</v>
      </c>
    </row>
    <row r="453" spans="6:11" ht="17.5" x14ac:dyDescent="0.35">
      <c r="F453" s="170">
        <v>451</v>
      </c>
      <c r="G453" s="170" t="s">
        <v>337</v>
      </c>
      <c r="H453" s="170" t="s">
        <v>347</v>
      </c>
      <c r="I453" s="172" t="s">
        <v>343</v>
      </c>
      <c r="J453" s="170" t="str">
        <f t="shared" si="7"/>
        <v>Fourfiveone</v>
      </c>
      <c r="K453" s="170" t="s">
        <v>898</v>
      </c>
    </row>
    <row r="454" spans="6:11" ht="17.5" x14ac:dyDescent="0.35">
      <c r="F454" s="170">
        <v>452</v>
      </c>
      <c r="G454" s="170" t="s">
        <v>337</v>
      </c>
      <c r="H454" s="170" t="s">
        <v>347</v>
      </c>
      <c r="I454" s="172" t="s">
        <v>344</v>
      </c>
      <c r="J454" s="170" t="str">
        <f t="shared" si="7"/>
        <v>Fourfivetwo</v>
      </c>
      <c r="K454" s="170" t="s">
        <v>899</v>
      </c>
    </row>
    <row r="455" spans="6:11" ht="17.5" x14ac:dyDescent="0.35">
      <c r="F455" s="170">
        <v>453</v>
      </c>
      <c r="G455" s="170" t="s">
        <v>337</v>
      </c>
      <c r="H455" s="170" t="s">
        <v>347</v>
      </c>
      <c r="I455" s="172" t="s">
        <v>345</v>
      </c>
      <c r="J455" s="170" t="str">
        <f t="shared" si="7"/>
        <v>Fourfivethree</v>
      </c>
      <c r="K455" s="170" t="s">
        <v>900</v>
      </c>
    </row>
    <row r="456" spans="6:11" ht="17.5" x14ac:dyDescent="0.35">
      <c r="F456" s="170">
        <v>454</v>
      </c>
      <c r="G456" s="170" t="s">
        <v>337</v>
      </c>
      <c r="H456" s="170" t="s">
        <v>347</v>
      </c>
      <c r="I456" s="173" t="s">
        <v>346</v>
      </c>
      <c r="J456" s="170" t="str">
        <f t="shared" si="7"/>
        <v>Fourfivefour</v>
      </c>
      <c r="K456" s="170" t="s">
        <v>901</v>
      </c>
    </row>
    <row r="457" spans="6:11" ht="17.5" x14ac:dyDescent="0.35">
      <c r="F457" s="170">
        <v>455</v>
      </c>
      <c r="G457" s="170" t="s">
        <v>337</v>
      </c>
      <c r="H457" s="170" t="s">
        <v>347</v>
      </c>
      <c r="I457" s="173" t="s">
        <v>347</v>
      </c>
      <c r="J457" s="170" t="str">
        <f t="shared" si="7"/>
        <v>Fourfivefive</v>
      </c>
      <c r="K457" s="170" t="s">
        <v>902</v>
      </c>
    </row>
    <row r="458" spans="6:11" ht="17.5" x14ac:dyDescent="0.35">
      <c r="F458" s="170">
        <v>456</v>
      </c>
      <c r="G458" s="170" t="s">
        <v>337</v>
      </c>
      <c r="H458" s="170" t="s">
        <v>347</v>
      </c>
      <c r="I458" s="173" t="s">
        <v>348</v>
      </c>
      <c r="J458" s="170" t="str">
        <f t="shared" si="7"/>
        <v>Fourfivesix</v>
      </c>
      <c r="K458" s="170" t="s">
        <v>903</v>
      </c>
    </row>
    <row r="459" spans="6:11" ht="17.5" x14ac:dyDescent="0.35">
      <c r="F459" s="170">
        <v>457</v>
      </c>
      <c r="G459" s="170" t="s">
        <v>337</v>
      </c>
      <c r="H459" s="170" t="s">
        <v>347</v>
      </c>
      <c r="I459" s="173" t="s">
        <v>349</v>
      </c>
      <c r="J459" s="170" t="str">
        <f t="shared" si="7"/>
        <v>Fourfiveseven</v>
      </c>
      <c r="K459" s="170" t="s">
        <v>904</v>
      </c>
    </row>
    <row r="460" spans="6:11" ht="17.5" x14ac:dyDescent="0.35">
      <c r="F460" s="170">
        <v>458</v>
      </c>
      <c r="G460" s="170" t="s">
        <v>337</v>
      </c>
      <c r="H460" s="170" t="s">
        <v>347</v>
      </c>
      <c r="I460" s="173" t="s">
        <v>350</v>
      </c>
      <c r="J460" s="170" t="str">
        <f t="shared" si="7"/>
        <v>Fourfiveeight</v>
      </c>
      <c r="K460" s="170" t="s">
        <v>905</v>
      </c>
    </row>
    <row r="461" spans="6:11" ht="17.5" x14ac:dyDescent="0.35">
      <c r="F461" s="170">
        <v>459</v>
      </c>
      <c r="G461" s="170" t="s">
        <v>337</v>
      </c>
      <c r="H461" s="170" t="s">
        <v>347</v>
      </c>
      <c r="I461" s="173" t="s">
        <v>351</v>
      </c>
      <c r="J461" s="170" t="str">
        <f t="shared" si="7"/>
        <v>Fourfivenine</v>
      </c>
      <c r="K461" s="170" t="s">
        <v>906</v>
      </c>
    </row>
    <row r="462" spans="6:11" x14ac:dyDescent="0.35">
      <c r="F462" s="170">
        <v>460</v>
      </c>
      <c r="G462" s="170" t="s">
        <v>337</v>
      </c>
      <c r="H462" s="170" t="s">
        <v>348</v>
      </c>
      <c r="I462" s="170" t="s">
        <v>465</v>
      </c>
      <c r="J462" s="170" t="str">
        <f t="shared" si="7"/>
        <v>Foursixzero</v>
      </c>
      <c r="K462" s="170" t="s">
        <v>907</v>
      </c>
    </row>
    <row r="463" spans="6:11" ht="17.5" x14ac:dyDescent="0.35">
      <c r="F463" s="170">
        <v>461</v>
      </c>
      <c r="G463" s="170" t="s">
        <v>337</v>
      </c>
      <c r="H463" s="170" t="s">
        <v>348</v>
      </c>
      <c r="I463" s="172" t="s">
        <v>343</v>
      </c>
      <c r="J463" s="170" t="str">
        <f t="shared" si="7"/>
        <v>Foursixone</v>
      </c>
      <c r="K463" s="170" t="s">
        <v>908</v>
      </c>
    </row>
    <row r="464" spans="6:11" ht="17.5" x14ac:dyDescent="0.35">
      <c r="F464" s="170">
        <v>462</v>
      </c>
      <c r="G464" s="170" t="s">
        <v>337</v>
      </c>
      <c r="H464" s="170" t="s">
        <v>348</v>
      </c>
      <c r="I464" s="172" t="s">
        <v>344</v>
      </c>
      <c r="J464" s="170" t="str">
        <f t="shared" si="7"/>
        <v>Foursixtwo</v>
      </c>
      <c r="K464" s="170" t="s">
        <v>909</v>
      </c>
    </row>
    <row r="465" spans="6:11" ht="17.5" x14ac:dyDescent="0.35">
      <c r="F465" s="170">
        <v>463</v>
      </c>
      <c r="G465" s="170" t="s">
        <v>337</v>
      </c>
      <c r="H465" s="170" t="s">
        <v>348</v>
      </c>
      <c r="I465" s="172" t="s">
        <v>345</v>
      </c>
      <c r="J465" s="170" t="str">
        <f t="shared" si="7"/>
        <v>Foursixthree</v>
      </c>
      <c r="K465" s="170" t="s">
        <v>910</v>
      </c>
    </row>
    <row r="466" spans="6:11" ht="17.5" x14ac:dyDescent="0.35">
      <c r="F466" s="170">
        <v>464</v>
      </c>
      <c r="G466" s="170" t="s">
        <v>337</v>
      </c>
      <c r="H466" s="170" t="s">
        <v>348</v>
      </c>
      <c r="I466" s="173" t="s">
        <v>346</v>
      </c>
      <c r="J466" s="170" t="str">
        <f t="shared" si="7"/>
        <v>Foursixfour</v>
      </c>
      <c r="K466" s="170" t="s">
        <v>911</v>
      </c>
    </row>
    <row r="467" spans="6:11" ht="17.5" x14ac:dyDescent="0.35">
      <c r="F467" s="170">
        <v>465</v>
      </c>
      <c r="G467" s="170" t="s">
        <v>337</v>
      </c>
      <c r="H467" s="170" t="s">
        <v>348</v>
      </c>
      <c r="I467" s="173" t="s">
        <v>347</v>
      </c>
      <c r="J467" s="170" t="str">
        <f t="shared" si="7"/>
        <v>Foursixfive</v>
      </c>
      <c r="K467" s="170" t="s">
        <v>912</v>
      </c>
    </row>
    <row r="468" spans="6:11" ht="17.5" x14ac:dyDescent="0.35">
      <c r="F468" s="170">
        <v>466</v>
      </c>
      <c r="G468" s="170" t="s">
        <v>337</v>
      </c>
      <c r="H468" s="170" t="s">
        <v>348</v>
      </c>
      <c r="I468" s="173" t="s">
        <v>348</v>
      </c>
      <c r="J468" s="170" t="str">
        <f t="shared" si="7"/>
        <v>Foursixsix</v>
      </c>
      <c r="K468" s="170" t="s">
        <v>913</v>
      </c>
    </row>
    <row r="469" spans="6:11" ht="17.5" x14ac:dyDescent="0.35">
      <c r="F469" s="170">
        <v>467</v>
      </c>
      <c r="G469" s="170" t="s">
        <v>337</v>
      </c>
      <c r="H469" s="170" t="s">
        <v>348</v>
      </c>
      <c r="I469" s="173" t="s">
        <v>349</v>
      </c>
      <c r="J469" s="170" t="str">
        <f t="shared" si="7"/>
        <v>Foursixseven</v>
      </c>
      <c r="K469" s="170" t="s">
        <v>914</v>
      </c>
    </row>
    <row r="470" spans="6:11" ht="17.5" x14ac:dyDescent="0.35">
      <c r="F470" s="170">
        <v>468</v>
      </c>
      <c r="G470" s="170" t="s">
        <v>337</v>
      </c>
      <c r="H470" s="170" t="s">
        <v>348</v>
      </c>
      <c r="I470" s="173" t="s">
        <v>350</v>
      </c>
      <c r="J470" s="170" t="str">
        <f t="shared" si="7"/>
        <v>Foursixeight</v>
      </c>
      <c r="K470" s="170" t="s">
        <v>915</v>
      </c>
    </row>
    <row r="471" spans="6:11" ht="17.5" x14ac:dyDescent="0.35">
      <c r="F471" s="170">
        <v>469</v>
      </c>
      <c r="G471" s="170" t="s">
        <v>337</v>
      </c>
      <c r="H471" s="170" t="s">
        <v>348</v>
      </c>
      <c r="I471" s="173" t="s">
        <v>351</v>
      </c>
      <c r="J471" s="170" t="str">
        <f t="shared" si="7"/>
        <v>Foursixnine</v>
      </c>
      <c r="K471" s="170" t="s">
        <v>916</v>
      </c>
    </row>
    <row r="472" spans="6:11" ht="17.5" x14ac:dyDescent="0.35">
      <c r="F472" s="170">
        <v>470</v>
      </c>
      <c r="G472" s="170" t="s">
        <v>337</v>
      </c>
      <c r="H472" s="170" t="s">
        <v>349</v>
      </c>
      <c r="I472" s="177" t="s">
        <v>465</v>
      </c>
      <c r="J472" s="170" t="str">
        <f t="shared" si="7"/>
        <v>Foursevenzero</v>
      </c>
      <c r="K472" s="170" t="s">
        <v>917</v>
      </c>
    </row>
    <row r="473" spans="6:11" ht="17.5" x14ac:dyDescent="0.35">
      <c r="F473" s="170">
        <v>471</v>
      </c>
      <c r="G473" s="170" t="s">
        <v>337</v>
      </c>
      <c r="H473" s="170" t="s">
        <v>349</v>
      </c>
      <c r="I473" s="172" t="s">
        <v>343</v>
      </c>
      <c r="J473" s="170" t="str">
        <f t="shared" si="7"/>
        <v>Foursevenone</v>
      </c>
      <c r="K473" s="170" t="s">
        <v>918</v>
      </c>
    </row>
    <row r="474" spans="6:11" ht="17.5" x14ac:dyDescent="0.35">
      <c r="F474" s="170">
        <v>472</v>
      </c>
      <c r="G474" s="170" t="s">
        <v>337</v>
      </c>
      <c r="H474" s="170" t="s">
        <v>349</v>
      </c>
      <c r="I474" s="172" t="s">
        <v>344</v>
      </c>
      <c r="J474" s="170" t="str">
        <f t="shared" si="7"/>
        <v>Fourseventwo</v>
      </c>
      <c r="K474" s="170" t="s">
        <v>919</v>
      </c>
    </row>
    <row r="475" spans="6:11" ht="17.5" x14ac:dyDescent="0.35">
      <c r="F475" s="170">
        <v>473</v>
      </c>
      <c r="G475" s="170" t="s">
        <v>337</v>
      </c>
      <c r="H475" s="170" t="s">
        <v>349</v>
      </c>
      <c r="I475" s="172" t="s">
        <v>345</v>
      </c>
      <c r="J475" s="170" t="str">
        <f t="shared" si="7"/>
        <v>Fourseventhree</v>
      </c>
      <c r="K475" s="170" t="s">
        <v>920</v>
      </c>
    </row>
    <row r="476" spans="6:11" ht="17.5" x14ac:dyDescent="0.35">
      <c r="F476" s="170">
        <v>474</v>
      </c>
      <c r="G476" s="170" t="s">
        <v>337</v>
      </c>
      <c r="H476" s="170" t="s">
        <v>349</v>
      </c>
      <c r="I476" s="173" t="s">
        <v>346</v>
      </c>
      <c r="J476" s="170" t="str">
        <f t="shared" si="7"/>
        <v>Foursevenfour</v>
      </c>
      <c r="K476" s="170" t="s">
        <v>921</v>
      </c>
    </row>
    <row r="477" spans="6:11" ht="17.5" x14ac:dyDescent="0.35">
      <c r="F477" s="170">
        <v>475</v>
      </c>
      <c r="G477" s="170" t="s">
        <v>337</v>
      </c>
      <c r="H477" s="170" t="s">
        <v>349</v>
      </c>
      <c r="I477" s="173" t="s">
        <v>347</v>
      </c>
      <c r="J477" s="170" t="str">
        <f t="shared" si="7"/>
        <v>Foursevenfive</v>
      </c>
      <c r="K477" s="170" t="s">
        <v>922</v>
      </c>
    </row>
    <row r="478" spans="6:11" ht="17.5" x14ac:dyDescent="0.35">
      <c r="F478" s="170">
        <v>476</v>
      </c>
      <c r="G478" s="170" t="s">
        <v>337</v>
      </c>
      <c r="H478" s="170" t="s">
        <v>349</v>
      </c>
      <c r="I478" s="173" t="s">
        <v>348</v>
      </c>
      <c r="J478" s="170" t="str">
        <f t="shared" si="7"/>
        <v>Foursevensix</v>
      </c>
      <c r="K478" s="170" t="s">
        <v>923</v>
      </c>
    </row>
    <row r="479" spans="6:11" ht="17.5" x14ac:dyDescent="0.35">
      <c r="F479" s="170">
        <v>477</v>
      </c>
      <c r="G479" s="170" t="s">
        <v>337</v>
      </c>
      <c r="H479" s="170" t="s">
        <v>349</v>
      </c>
      <c r="I479" s="173" t="s">
        <v>349</v>
      </c>
      <c r="J479" s="170" t="str">
        <f t="shared" si="7"/>
        <v>Foursevenseven</v>
      </c>
      <c r="K479" s="170" t="s">
        <v>924</v>
      </c>
    </row>
    <row r="480" spans="6:11" ht="17.5" x14ac:dyDescent="0.35">
      <c r="F480" s="170">
        <v>478</v>
      </c>
      <c r="G480" s="170" t="s">
        <v>337</v>
      </c>
      <c r="H480" s="170" t="s">
        <v>349</v>
      </c>
      <c r="I480" s="173" t="s">
        <v>350</v>
      </c>
      <c r="J480" s="170" t="str">
        <f t="shared" si="7"/>
        <v>Fourseveneight</v>
      </c>
      <c r="K480" s="170" t="s">
        <v>925</v>
      </c>
    </row>
    <row r="481" spans="6:11" ht="17.5" x14ac:dyDescent="0.35">
      <c r="F481" s="170">
        <v>479</v>
      </c>
      <c r="G481" s="170" t="s">
        <v>337</v>
      </c>
      <c r="H481" s="170" t="s">
        <v>349</v>
      </c>
      <c r="I481" s="173" t="s">
        <v>351</v>
      </c>
      <c r="J481" s="170" t="str">
        <f t="shared" si="7"/>
        <v>Foursevennine</v>
      </c>
      <c r="K481" s="170" t="s">
        <v>926</v>
      </c>
    </row>
    <row r="482" spans="6:11" ht="17.5" x14ac:dyDescent="0.35">
      <c r="F482" s="170">
        <v>480</v>
      </c>
      <c r="G482" s="170" t="s">
        <v>337</v>
      </c>
      <c r="H482" s="170" t="s">
        <v>350</v>
      </c>
      <c r="I482" s="177" t="s">
        <v>465</v>
      </c>
      <c r="J482" s="170" t="str">
        <f t="shared" si="7"/>
        <v>Foureightzero</v>
      </c>
      <c r="K482" s="170" t="s">
        <v>927</v>
      </c>
    </row>
    <row r="483" spans="6:11" ht="17.5" x14ac:dyDescent="0.35">
      <c r="F483" s="170">
        <v>481</v>
      </c>
      <c r="G483" s="170" t="s">
        <v>337</v>
      </c>
      <c r="H483" s="170" t="s">
        <v>350</v>
      </c>
      <c r="I483" s="172" t="s">
        <v>343</v>
      </c>
      <c r="J483" s="170" t="str">
        <f t="shared" si="7"/>
        <v>Foureightone</v>
      </c>
      <c r="K483" s="170" t="s">
        <v>928</v>
      </c>
    </row>
    <row r="484" spans="6:11" ht="17.5" x14ac:dyDescent="0.35">
      <c r="F484" s="170">
        <v>482</v>
      </c>
      <c r="G484" s="170" t="s">
        <v>337</v>
      </c>
      <c r="H484" s="170" t="s">
        <v>350</v>
      </c>
      <c r="I484" s="172" t="s">
        <v>344</v>
      </c>
      <c r="J484" s="170" t="str">
        <f t="shared" si="7"/>
        <v>Foureighttwo</v>
      </c>
      <c r="K484" s="170" t="s">
        <v>929</v>
      </c>
    </row>
    <row r="485" spans="6:11" ht="17.5" x14ac:dyDescent="0.35">
      <c r="F485" s="170">
        <v>483</v>
      </c>
      <c r="G485" s="170" t="s">
        <v>337</v>
      </c>
      <c r="H485" s="170" t="s">
        <v>350</v>
      </c>
      <c r="I485" s="172" t="s">
        <v>345</v>
      </c>
      <c r="J485" s="170" t="str">
        <f t="shared" si="7"/>
        <v>Foureightthree</v>
      </c>
      <c r="K485" s="170" t="s">
        <v>930</v>
      </c>
    </row>
    <row r="486" spans="6:11" ht="17.5" x14ac:dyDescent="0.35">
      <c r="F486" s="170">
        <v>484</v>
      </c>
      <c r="G486" s="170" t="s">
        <v>337</v>
      </c>
      <c r="H486" s="170" t="s">
        <v>350</v>
      </c>
      <c r="I486" s="173" t="s">
        <v>346</v>
      </c>
      <c r="J486" s="170" t="str">
        <f t="shared" ref="J486:J549" si="8">G486&amp;H486&amp;I486</f>
        <v>Foureightfour</v>
      </c>
      <c r="K486" s="170" t="s">
        <v>931</v>
      </c>
    </row>
    <row r="487" spans="6:11" ht="17.5" x14ac:dyDescent="0.35">
      <c r="F487" s="170">
        <v>485</v>
      </c>
      <c r="G487" s="170" t="s">
        <v>337</v>
      </c>
      <c r="H487" s="170" t="s">
        <v>350</v>
      </c>
      <c r="I487" s="173" t="s">
        <v>347</v>
      </c>
      <c r="J487" s="170" t="str">
        <f t="shared" si="8"/>
        <v>Foureightfive</v>
      </c>
      <c r="K487" s="170" t="s">
        <v>932</v>
      </c>
    </row>
    <row r="488" spans="6:11" ht="17.5" x14ac:dyDescent="0.35">
      <c r="F488" s="170">
        <v>486</v>
      </c>
      <c r="G488" s="170" t="s">
        <v>337</v>
      </c>
      <c r="H488" s="170" t="s">
        <v>350</v>
      </c>
      <c r="I488" s="173" t="s">
        <v>348</v>
      </c>
      <c r="J488" s="170" t="str">
        <f t="shared" si="8"/>
        <v>Foureightsix</v>
      </c>
      <c r="K488" s="170" t="s">
        <v>933</v>
      </c>
    </row>
    <row r="489" spans="6:11" ht="17.5" x14ac:dyDescent="0.35">
      <c r="F489" s="170">
        <v>487</v>
      </c>
      <c r="G489" s="170" t="s">
        <v>337</v>
      </c>
      <c r="H489" s="170" t="s">
        <v>350</v>
      </c>
      <c r="I489" s="173" t="s">
        <v>349</v>
      </c>
      <c r="J489" s="170" t="str">
        <f t="shared" si="8"/>
        <v>Foureightseven</v>
      </c>
      <c r="K489" s="170" t="s">
        <v>934</v>
      </c>
    </row>
    <row r="490" spans="6:11" ht="17.5" x14ac:dyDescent="0.35">
      <c r="F490" s="170">
        <v>488</v>
      </c>
      <c r="G490" s="170" t="s">
        <v>337</v>
      </c>
      <c r="H490" s="170" t="s">
        <v>350</v>
      </c>
      <c r="I490" s="173" t="s">
        <v>350</v>
      </c>
      <c r="J490" s="170" t="str">
        <f t="shared" si="8"/>
        <v>Foureighteight</v>
      </c>
      <c r="K490" s="170" t="s">
        <v>935</v>
      </c>
    </row>
    <row r="491" spans="6:11" ht="17.5" x14ac:dyDescent="0.35">
      <c r="F491" s="170">
        <v>489</v>
      </c>
      <c r="G491" s="170" t="s">
        <v>337</v>
      </c>
      <c r="H491" s="170" t="s">
        <v>350</v>
      </c>
      <c r="I491" s="173" t="s">
        <v>351</v>
      </c>
      <c r="J491" s="170" t="str">
        <f t="shared" si="8"/>
        <v>Foureightnine</v>
      </c>
      <c r="K491" s="170" t="s">
        <v>936</v>
      </c>
    </row>
    <row r="492" spans="6:11" x14ac:dyDescent="0.35">
      <c r="F492" s="170">
        <v>490</v>
      </c>
      <c r="G492" s="170" t="s">
        <v>337</v>
      </c>
      <c r="H492" s="170" t="s">
        <v>351</v>
      </c>
      <c r="I492" s="170" t="s">
        <v>465</v>
      </c>
      <c r="J492" s="170" t="str">
        <f t="shared" si="8"/>
        <v>Fourninezero</v>
      </c>
      <c r="K492" s="170" t="s">
        <v>937</v>
      </c>
    </row>
    <row r="493" spans="6:11" ht="17.5" x14ac:dyDescent="0.35">
      <c r="F493" s="170">
        <v>491</v>
      </c>
      <c r="G493" s="170" t="s">
        <v>337</v>
      </c>
      <c r="H493" s="170" t="s">
        <v>351</v>
      </c>
      <c r="I493" s="172" t="s">
        <v>343</v>
      </c>
      <c r="J493" s="170" t="str">
        <f t="shared" si="8"/>
        <v>Fournineone</v>
      </c>
      <c r="K493" s="170" t="s">
        <v>938</v>
      </c>
    </row>
    <row r="494" spans="6:11" ht="17.5" x14ac:dyDescent="0.35">
      <c r="F494" s="170">
        <v>492</v>
      </c>
      <c r="G494" s="170" t="s">
        <v>337</v>
      </c>
      <c r="H494" s="170" t="s">
        <v>351</v>
      </c>
      <c r="I494" s="172" t="s">
        <v>344</v>
      </c>
      <c r="J494" s="170" t="str">
        <f t="shared" si="8"/>
        <v>Fourninetwo</v>
      </c>
      <c r="K494" s="170" t="s">
        <v>939</v>
      </c>
    </row>
    <row r="495" spans="6:11" ht="17.5" x14ac:dyDescent="0.35">
      <c r="F495" s="170">
        <v>493</v>
      </c>
      <c r="G495" s="170" t="s">
        <v>337</v>
      </c>
      <c r="H495" s="170" t="s">
        <v>351</v>
      </c>
      <c r="I495" s="172" t="s">
        <v>345</v>
      </c>
      <c r="J495" s="170" t="str">
        <f t="shared" si="8"/>
        <v>Fourninethree</v>
      </c>
      <c r="K495" s="170" t="s">
        <v>940</v>
      </c>
    </row>
    <row r="496" spans="6:11" ht="17.5" x14ac:dyDescent="0.35">
      <c r="F496" s="170">
        <v>494</v>
      </c>
      <c r="G496" s="170" t="s">
        <v>337</v>
      </c>
      <c r="H496" s="170" t="s">
        <v>351</v>
      </c>
      <c r="I496" s="173" t="s">
        <v>346</v>
      </c>
      <c r="J496" s="170" t="str">
        <f t="shared" si="8"/>
        <v>Fourninefour</v>
      </c>
      <c r="K496" s="170" t="s">
        <v>941</v>
      </c>
    </row>
    <row r="497" spans="6:11" ht="17.5" x14ac:dyDescent="0.35">
      <c r="F497" s="170">
        <v>495</v>
      </c>
      <c r="G497" s="170" t="s">
        <v>337</v>
      </c>
      <c r="H497" s="170" t="s">
        <v>351</v>
      </c>
      <c r="I497" s="173" t="s">
        <v>347</v>
      </c>
      <c r="J497" s="170" t="str">
        <f t="shared" si="8"/>
        <v>Fourninefive</v>
      </c>
      <c r="K497" s="170" t="s">
        <v>942</v>
      </c>
    </row>
    <row r="498" spans="6:11" ht="17.5" x14ac:dyDescent="0.35">
      <c r="F498" s="170">
        <v>496</v>
      </c>
      <c r="G498" s="170" t="s">
        <v>337</v>
      </c>
      <c r="H498" s="170" t="s">
        <v>351</v>
      </c>
      <c r="I498" s="173" t="s">
        <v>348</v>
      </c>
      <c r="J498" s="170" t="str">
        <f t="shared" si="8"/>
        <v>Fourninesix</v>
      </c>
      <c r="K498" s="170" t="s">
        <v>943</v>
      </c>
    </row>
    <row r="499" spans="6:11" ht="17.5" x14ac:dyDescent="0.35">
      <c r="F499" s="170">
        <v>497</v>
      </c>
      <c r="G499" s="170" t="s">
        <v>337</v>
      </c>
      <c r="H499" s="170" t="s">
        <v>351</v>
      </c>
      <c r="I499" s="173" t="s">
        <v>349</v>
      </c>
      <c r="J499" s="170" t="str">
        <f t="shared" si="8"/>
        <v>Fournineseven</v>
      </c>
      <c r="K499" s="170" t="s">
        <v>944</v>
      </c>
    </row>
    <row r="500" spans="6:11" ht="17.5" x14ac:dyDescent="0.35">
      <c r="F500" s="170">
        <v>498</v>
      </c>
      <c r="G500" s="170" t="s">
        <v>337</v>
      </c>
      <c r="H500" s="170" t="s">
        <v>351</v>
      </c>
      <c r="I500" s="173" t="s">
        <v>350</v>
      </c>
      <c r="J500" s="170" t="str">
        <f t="shared" si="8"/>
        <v>Fournineeight</v>
      </c>
      <c r="K500" s="170" t="s">
        <v>945</v>
      </c>
    </row>
    <row r="501" spans="6:11" ht="17.5" x14ac:dyDescent="0.35">
      <c r="F501" s="170">
        <v>499</v>
      </c>
      <c r="G501" s="170" t="s">
        <v>337</v>
      </c>
      <c r="H501" s="170" t="s">
        <v>351</v>
      </c>
      <c r="I501" s="173" t="s">
        <v>351</v>
      </c>
      <c r="J501" s="170" t="str">
        <f t="shared" si="8"/>
        <v>Fourninenine</v>
      </c>
      <c r="K501" s="170" t="s">
        <v>946</v>
      </c>
    </row>
    <row r="502" spans="6:11" x14ac:dyDescent="0.35">
      <c r="F502" s="170">
        <v>500</v>
      </c>
      <c r="G502" s="170" t="s">
        <v>338</v>
      </c>
      <c r="H502" s="170" t="s">
        <v>465</v>
      </c>
      <c r="I502" s="170" t="s">
        <v>465</v>
      </c>
      <c r="J502" s="170" t="str">
        <f t="shared" si="8"/>
        <v>Fivezerozero</v>
      </c>
      <c r="K502" s="170" t="s">
        <v>947</v>
      </c>
    </row>
    <row r="503" spans="6:11" ht="17.5" x14ac:dyDescent="0.35">
      <c r="F503" s="170">
        <v>501</v>
      </c>
      <c r="G503" s="170" t="s">
        <v>338</v>
      </c>
      <c r="H503" s="170" t="s">
        <v>465</v>
      </c>
      <c r="I503" s="172" t="s">
        <v>343</v>
      </c>
      <c r="J503" s="170" t="str">
        <f t="shared" si="8"/>
        <v>Fivezeroone</v>
      </c>
      <c r="K503" s="170" t="s">
        <v>948</v>
      </c>
    </row>
    <row r="504" spans="6:11" ht="17.5" x14ac:dyDescent="0.35">
      <c r="F504" s="170">
        <v>502</v>
      </c>
      <c r="G504" s="170" t="s">
        <v>338</v>
      </c>
      <c r="H504" s="170" t="s">
        <v>465</v>
      </c>
      <c r="I504" s="172" t="s">
        <v>344</v>
      </c>
      <c r="J504" s="170" t="str">
        <f t="shared" si="8"/>
        <v>Fivezerotwo</v>
      </c>
      <c r="K504" s="170" t="s">
        <v>949</v>
      </c>
    </row>
    <row r="505" spans="6:11" ht="17.5" x14ac:dyDescent="0.35">
      <c r="F505" s="170">
        <v>503</v>
      </c>
      <c r="G505" s="170" t="s">
        <v>338</v>
      </c>
      <c r="H505" s="170" t="s">
        <v>465</v>
      </c>
      <c r="I505" s="172" t="s">
        <v>345</v>
      </c>
      <c r="J505" s="170" t="str">
        <f t="shared" si="8"/>
        <v>Fivezerothree</v>
      </c>
      <c r="K505" s="170" t="s">
        <v>950</v>
      </c>
    </row>
    <row r="506" spans="6:11" ht="17.5" x14ac:dyDescent="0.35">
      <c r="F506" s="170">
        <v>504</v>
      </c>
      <c r="G506" s="170" t="s">
        <v>338</v>
      </c>
      <c r="H506" s="170" t="s">
        <v>465</v>
      </c>
      <c r="I506" s="173" t="s">
        <v>346</v>
      </c>
      <c r="J506" s="170" t="str">
        <f t="shared" si="8"/>
        <v>Fivezerofour</v>
      </c>
      <c r="K506" s="170" t="s">
        <v>951</v>
      </c>
    </row>
    <row r="507" spans="6:11" ht="17.5" x14ac:dyDescent="0.35">
      <c r="F507" s="170">
        <v>505</v>
      </c>
      <c r="G507" s="170" t="s">
        <v>338</v>
      </c>
      <c r="H507" s="170" t="s">
        <v>465</v>
      </c>
      <c r="I507" s="173" t="s">
        <v>347</v>
      </c>
      <c r="J507" s="170" t="str">
        <f t="shared" si="8"/>
        <v>Fivezerofive</v>
      </c>
      <c r="K507" s="170" t="s">
        <v>952</v>
      </c>
    </row>
    <row r="508" spans="6:11" ht="17.5" x14ac:dyDescent="0.35">
      <c r="F508" s="170">
        <v>506</v>
      </c>
      <c r="G508" s="170" t="s">
        <v>338</v>
      </c>
      <c r="H508" s="170" t="s">
        <v>465</v>
      </c>
      <c r="I508" s="173" t="s">
        <v>348</v>
      </c>
      <c r="J508" s="170" t="str">
        <f t="shared" si="8"/>
        <v>Fivezerosix</v>
      </c>
      <c r="K508" s="170" t="s">
        <v>953</v>
      </c>
    </row>
    <row r="509" spans="6:11" ht="17.5" x14ac:dyDescent="0.35">
      <c r="F509" s="170">
        <v>507</v>
      </c>
      <c r="G509" s="170" t="s">
        <v>338</v>
      </c>
      <c r="H509" s="170" t="s">
        <v>465</v>
      </c>
      <c r="I509" s="173" t="s">
        <v>349</v>
      </c>
      <c r="J509" s="170" t="str">
        <f t="shared" si="8"/>
        <v>Fivezeroseven</v>
      </c>
      <c r="K509" s="170" t="s">
        <v>954</v>
      </c>
    </row>
    <row r="510" spans="6:11" ht="17.5" x14ac:dyDescent="0.35">
      <c r="F510" s="170">
        <v>508</v>
      </c>
      <c r="G510" s="170" t="s">
        <v>338</v>
      </c>
      <c r="H510" s="170" t="s">
        <v>465</v>
      </c>
      <c r="I510" s="173" t="s">
        <v>350</v>
      </c>
      <c r="J510" s="170" t="str">
        <f t="shared" si="8"/>
        <v>Fivezeroeight</v>
      </c>
      <c r="K510" s="170" t="s">
        <v>955</v>
      </c>
    </row>
    <row r="511" spans="6:11" ht="17.5" x14ac:dyDescent="0.35">
      <c r="F511" s="170">
        <v>509</v>
      </c>
      <c r="G511" s="170" t="s">
        <v>338</v>
      </c>
      <c r="H511" s="170" t="s">
        <v>465</v>
      </c>
      <c r="I511" s="173" t="s">
        <v>351</v>
      </c>
      <c r="J511" s="170" t="str">
        <f t="shared" si="8"/>
        <v>Fivezeronine</v>
      </c>
      <c r="K511" s="170" t="s">
        <v>956</v>
      </c>
    </row>
    <row r="512" spans="6:11" ht="17.5" x14ac:dyDescent="0.35">
      <c r="F512" s="170">
        <v>510</v>
      </c>
      <c r="G512" s="170" t="s">
        <v>338</v>
      </c>
      <c r="H512" s="172" t="s">
        <v>343</v>
      </c>
      <c r="I512" s="177" t="s">
        <v>465</v>
      </c>
      <c r="J512" s="170" t="str">
        <f t="shared" si="8"/>
        <v>Fiveonezero</v>
      </c>
      <c r="K512" s="170" t="s">
        <v>957</v>
      </c>
    </row>
    <row r="513" spans="6:11" ht="17.5" x14ac:dyDescent="0.35">
      <c r="F513" s="170">
        <v>511</v>
      </c>
      <c r="G513" s="170" t="s">
        <v>338</v>
      </c>
      <c r="H513" s="172" t="s">
        <v>343</v>
      </c>
      <c r="I513" s="172" t="s">
        <v>343</v>
      </c>
      <c r="J513" s="170" t="str">
        <f t="shared" si="8"/>
        <v>Fiveoneone</v>
      </c>
      <c r="K513" s="170" t="s">
        <v>958</v>
      </c>
    </row>
    <row r="514" spans="6:11" ht="17.5" x14ac:dyDescent="0.35">
      <c r="F514" s="170">
        <v>512</v>
      </c>
      <c r="G514" s="170" t="s">
        <v>338</v>
      </c>
      <c r="H514" s="172" t="s">
        <v>343</v>
      </c>
      <c r="I514" s="172" t="s">
        <v>344</v>
      </c>
      <c r="J514" s="170" t="str">
        <f t="shared" si="8"/>
        <v>Fiveonetwo</v>
      </c>
      <c r="K514" s="170" t="s">
        <v>959</v>
      </c>
    </row>
    <row r="515" spans="6:11" ht="17.5" x14ac:dyDescent="0.35">
      <c r="F515" s="170">
        <v>513</v>
      </c>
      <c r="G515" s="170" t="s">
        <v>338</v>
      </c>
      <c r="H515" s="172" t="s">
        <v>343</v>
      </c>
      <c r="I515" s="172" t="s">
        <v>345</v>
      </c>
      <c r="J515" s="170" t="str">
        <f t="shared" si="8"/>
        <v>Fiveonethree</v>
      </c>
      <c r="K515" s="170" t="s">
        <v>960</v>
      </c>
    </row>
    <row r="516" spans="6:11" ht="17.5" x14ac:dyDescent="0.35">
      <c r="F516" s="170">
        <v>514</v>
      </c>
      <c r="G516" s="170" t="s">
        <v>338</v>
      </c>
      <c r="H516" s="172" t="s">
        <v>343</v>
      </c>
      <c r="I516" s="173" t="s">
        <v>346</v>
      </c>
      <c r="J516" s="170" t="str">
        <f t="shared" si="8"/>
        <v>Fiveonefour</v>
      </c>
      <c r="K516" s="170" t="s">
        <v>961</v>
      </c>
    </row>
    <row r="517" spans="6:11" ht="17.5" x14ac:dyDescent="0.35">
      <c r="F517" s="170">
        <v>515</v>
      </c>
      <c r="G517" s="170" t="s">
        <v>338</v>
      </c>
      <c r="H517" s="172" t="s">
        <v>343</v>
      </c>
      <c r="I517" s="173" t="s">
        <v>347</v>
      </c>
      <c r="J517" s="170" t="str">
        <f t="shared" si="8"/>
        <v>Fiveonefive</v>
      </c>
      <c r="K517" s="170" t="s">
        <v>962</v>
      </c>
    </row>
    <row r="518" spans="6:11" ht="17.5" x14ac:dyDescent="0.35">
      <c r="F518" s="170">
        <v>516</v>
      </c>
      <c r="G518" s="170" t="s">
        <v>338</v>
      </c>
      <c r="H518" s="172" t="s">
        <v>343</v>
      </c>
      <c r="I518" s="173" t="s">
        <v>348</v>
      </c>
      <c r="J518" s="170" t="str">
        <f t="shared" si="8"/>
        <v>Fiveonesix</v>
      </c>
      <c r="K518" s="170" t="s">
        <v>963</v>
      </c>
    </row>
    <row r="519" spans="6:11" ht="17.5" x14ac:dyDescent="0.35">
      <c r="F519" s="170">
        <v>517</v>
      </c>
      <c r="G519" s="170" t="s">
        <v>338</v>
      </c>
      <c r="H519" s="172" t="s">
        <v>343</v>
      </c>
      <c r="I519" s="173" t="s">
        <v>349</v>
      </c>
      <c r="J519" s="170" t="str">
        <f t="shared" si="8"/>
        <v>Fiveoneseven</v>
      </c>
      <c r="K519" s="170" t="s">
        <v>964</v>
      </c>
    </row>
    <row r="520" spans="6:11" ht="17.5" x14ac:dyDescent="0.35">
      <c r="F520" s="170">
        <v>518</v>
      </c>
      <c r="G520" s="170" t="s">
        <v>338</v>
      </c>
      <c r="H520" s="172" t="s">
        <v>343</v>
      </c>
      <c r="I520" s="173" t="s">
        <v>350</v>
      </c>
      <c r="J520" s="170" t="str">
        <f t="shared" si="8"/>
        <v>Fiveoneeight</v>
      </c>
      <c r="K520" s="170" t="s">
        <v>965</v>
      </c>
    </row>
    <row r="521" spans="6:11" ht="17.5" x14ac:dyDescent="0.35">
      <c r="F521" s="170">
        <v>519</v>
      </c>
      <c r="G521" s="170" t="s">
        <v>338</v>
      </c>
      <c r="H521" s="172" t="s">
        <v>343</v>
      </c>
      <c r="I521" s="173" t="s">
        <v>351</v>
      </c>
      <c r="J521" s="170" t="str">
        <f t="shared" si="8"/>
        <v>Fiveonenine</v>
      </c>
      <c r="K521" s="170" t="s">
        <v>966</v>
      </c>
    </row>
    <row r="522" spans="6:11" ht="17.5" x14ac:dyDescent="0.35">
      <c r="F522" s="170">
        <v>520</v>
      </c>
      <c r="G522" s="170" t="s">
        <v>338</v>
      </c>
      <c r="H522" s="170" t="s">
        <v>344</v>
      </c>
      <c r="I522" s="177" t="s">
        <v>465</v>
      </c>
      <c r="J522" s="170" t="str">
        <f t="shared" si="8"/>
        <v>Fivetwozero</v>
      </c>
      <c r="K522" s="170" t="s">
        <v>967</v>
      </c>
    </row>
    <row r="523" spans="6:11" ht="17.5" x14ac:dyDescent="0.35">
      <c r="F523" s="170">
        <v>521</v>
      </c>
      <c r="G523" s="170" t="s">
        <v>338</v>
      </c>
      <c r="H523" s="170" t="s">
        <v>344</v>
      </c>
      <c r="I523" s="172" t="s">
        <v>343</v>
      </c>
      <c r="J523" s="170" t="str">
        <f t="shared" si="8"/>
        <v>Fivetwoone</v>
      </c>
      <c r="K523" s="170" t="s">
        <v>968</v>
      </c>
    </row>
    <row r="524" spans="6:11" ht="17.5" x14ac:dyDescent="0.35">
      <c r="F524" s="170">
        <v>522</v>
      </c>
      <c r="G524" s="170" t="s">
        <v>338</v>
      </c>
      <c r="H524" s="170" t="s">
        <v>344</v>
      </c>
      <c r="I524" s="172" t="s">
        <v>344</v>
      </c>
      <c r="J524" s="170" t="str">
        <f t="shared" si="8"/>
        <v>Fivetwotwo</v>
      </c>
      <c r="K524" s="170" t="s">
        <v>969</v>
      </c>
    </row>
    <row r="525" spans="6:11" ht="17.5" x14ac:dyDescent="0.35">
      <c r="F525" s="170">
        <v>523</v>
      </c>
      <c r="G525" s="170" t="s">
        <v>338</v>
      </c>
      <c r="H525" s="170" t="s">
        <v>344</v>
      </c>
      <c r="I525" s="172" t="s">
        <v>345</v>
      </c>
      <c r="J525" s="170" t="str">
        <f t="shared" si="8"/>
        <v>Fivetwothree</v>
      </c>
      <c r="K525" s="170" t="s">
        <v>970</v>
      </c>
    </row>
    <row r="526" spans="6:11" ht="17.5" x14ac:dyDescent="0.35">
      <c r="F526" s="170">
        <v>524</v>
      </c>
      <c r="G526" s="170" t="s">
        <v>338</v>
      </c>
      <c r="H526" s="170" t="s">
        <v>344</v>
      </c>
      <c r="I526" s="173" t="s">
        <v>346</v>
      </c>
      <c r="J526" s="170" t="str">
        <f t="shared" si="8"/>
        <v>Fivetwofour</v>
      </c>
      <c r="K526" s="170" t="s">
        <v>971</v>
      </c>
    </row>
    <row r="527" spans="6:11" ht="17.5" x14ac:dyDescent="0.35">
      <c r="F527" s="170">
        <v>525</v>
      </c>
      <c r="G527" s="170" t="s">
        <v>338</v>
      </c>
      <c r="H527" s="170" t="s">
        <v>344</v>
      </c>
      <c r="I527" s="173" t="s">
        <v>347</v>
      </c>
      <c r="J527" s="170" t="str">
        <f t="shared" si="8"/>
        <v>Fivetwofive</v>
      </c>
      <c r="K527" s="170" t="s">
        <v>972</v>
      </c>
    </row>
    <row r="528" spans="6:11" ht="17.5" x14ac:dyDescent="0.35">
      <c r="F528" s="170">
        <v>526</v>
      </c>
      <c r="G528" s="170" t="s">
        <v>338</v>
      </c>
      <c r="H528" s="170" t="s">
        <v>344</v>
      </c>
      <c r="I528" s="173" t="s">
        <v>348</v>
      </c>
      <c r="J528" s="170" t="str">
        <f t="shared" si="8"/>
        <v>Fivetwosix</v>
      </c>
      <c r="K528" s="170" t="s">
        <v>973</v>
      </c>
    </row>
    <row r="529" spans="6:11" ht="17.5" x14ac:dyDescent="0.35">
      <c r="F529" s="170">
        <v>527</v>
      </c>
      <c r="G529" s="170" t="s">
        <v>338</v>
      </c>
      <c r="H529" s="170" t="s">
        <v>344</v>
      </c>
      <c r="I529" s="173" t="s">
        <v>349</v>
      </c>
      <c r="J529" s="170" t="str">
        <f t="shared" si="8"/>
        <v>Fivetwoseven</v>
      </c>
      <c r="K529" s="170" t="s">
        <v>974</v>
      </c>
    </row>
    <row r="530" spans="6:11" ht="17.5" x14ac:dyDescent="0.35">
      <c r="F530" s="170">
        <v>528</v>
      </c>
      <c r="G530" s="170" t="s">
        <v>338</v>
      </c>
      <c r="H530" s="170" t="s">
        <v>344</v>
      </c>
      <c r="I530" s="173" t="s">
        <v>350</v>
      </c>
      <c r="J530" s="170" t="str">
        <f t="shared" si="8"/>
        <v>Fivetwoeight</v>
      </c>
      <c r="K530" s="170" t="s">
        <v>975</v>
      </c>
    </row>
    <row r="531" spans="6:11" ht="17.5" x14ac:dyDescent="0.35">
      <c r="F531" s="170">
        <v>529</v>
      </c>
      <c r="G531" s="170" t="s">
        <v>338</v>
      </c>
      <c r="H531" s="170" t="s">
        <v>344</v>
      </c>
      <c r="I531" s="173" t="s">
        <v>351</v>
      </c>
      <c r="J531" s="170" t="str">
        <f t="shared" si="8"/>
        <v>Fivetwonine</v>
      </c>
      <c r="K531" s="170" t="s">
        <v>976</v>
      </c>
    </row>
    <row r="532" spans="6:11" x14ac:dyDescent="0.35">
      <c r="F532" s="170">
        <v>530</v>
      </c>
      <c r="G532" s="170" t="s">
        <v>338</v>
      </c>
      <c r="H532" s="170" t="s">
        <v>345</v>
      </c>
      <c r="I532" s="170" t="s">
        <v>465</v>
      </c>
      <c r="J532" s="170" t="str">
        <f t="shared" si="8"/>
        <v>Fivethreezero</v>
      </c>
      <c r="K532" s="170" t="s">
        <v>977</v>
      </c>
    </row>
    <row r="533" spans="6:11" ht="17.5" x14ac:dyDescent="0.35">
      <c r="F533" s="170">
        <v>531</v>
      </c>
      <c r="G533" s="170" t="s">
        <v>338</v>
      </c>
      <c r="H533" s="170" t="s">
        <v>345</v>
      </c>
      <c r="I533" s="172" t="s">
        <v>343</v>
      </c>
      <c r="J533" s="170" t="str">
        <f t="shared" si="8"/>
        <v>Fivethreeone</v>
      </c>
      <c r="K533" s="170" t="s">
        <v>978</v>
      </c>
    </row>
    <row r="534" spans="6:11" ht="17.5" x14ac:dyDescent="0.35">
      <c r="F534" s="170">
        <v>532</v>
      </c>
      <c r="G534" s="170" t="s">
        <v>338</v>
      </c>
      <c r="H534" s="170" t="s">
        <v>345</v>
      </c>
      <c r="I534" s="172" t="s">
        <v>344</v>
      </c>
      <c r="J534" s="170" t="str">
        <f t="shared" si="8"/>
        <v>Fivethreetwo</v>
      </c>
      <c r="K534" s="170" t="s">
        <v>979</v>
      </c>
    </row>
    <row r="535" spans="6:11" ht="17.5" x14ac:dyDescent="0.35">
      <c r="F535" s="170">
        <v>533</v>
      </c>
      <c r="G535" s="170" t="s">
        <v>338</v>
      </c>
      <c r="H535" s="170" t="s">
        <v>345</v>
      </c>
      <c r="I535" s="172" t="s">
        <v>345</v>
      </c>
      <c r="J535" s="170" t="str">
        <f t="shared" si="8"/>
        <v>Fivethreethree</v>
      </c>
      <c r="K535" s="170" t="s">
        <v>980</v>
      </c>
    </row>
    <row r="536" spans="6:11" ht="17.5" x14ac:dyDescent="0.35">
      <c r="F536" s="170">
        <v>534</v>
      </c>
      <c r="G536" s="170" t="s">
        <v>338</v>
      </c>
      <c r="H536" s="170" t="s">
        <v>345</v>
      </c>
      <c r="I536" s="173" t="s">
        <v>346</v>
      </c>
      <c r="J536" s="170" t="str">
        <f t="shared" si="8"/>
        <v>Fivethreefour</v>
      </c>
      <c r="K536" s="170" t="s">
        <v>981</v>
      </c>
    </row>
    <row r="537" spans="6:11" ht="17.5" x14ac:dyDescent="0.35">
      <c r="F537" s="170">
        <v>535</v>
      </c>
      <c r="G537" s="170" t="s">
        <v>338</v>
      </c>
      <c r="H537" s="170" t="s">
        <v>345</v>
      </c>
      <c r="I537" s="173" t="s">
        <v>347</v>
      </c>
      <c r="J537" s="170" t="str">
        <f t="shared" si="8"/>
        <v>Fivethreefive</v>
      </c>
      <c r="K537" s="170" t="s">
        <v>982</v>
      </c>
    </row>
    <row r="538" spans="6:11" ht="17.5" x14ac:dyDescent="0.35">
      <c r="F538" s="170">
        <v>536</v>
      </c>
      <c r="G538" s="170" t="s">
        <v>338</v>
      </c>
      <c r="H538" s="170" t="s">
        <v>345</v>
      </c>
      <c r="I538" s="173" t="s">
        <v>348</v>
      </c>
      <c r="J538" s="170" t="str">
        <f t="shared" si="8"/>
        <v>Fivethreesix</v>
      </c>
      <c r="K538" s="170" t="s">
        <v>983</v>
      </c>
    </row>
    <row r="539" spans="6:11" ht="17.5" x14ac:dyDescent="0.35">
      <c r="F539" s="170">
        <v>537</v>
      </c>
      <c r="G539" s="170" t="s">
        <v>338</v>
      </c>
      <c r="H539" s="170" t="s">
        <v>345</v>
      </c>
      <c r="I539" s="173" t="s">
        <v>349</v>
      </c>
      <c r="J539" s="170" t="str">
        <f t="shared" si="8"/>
        <v>Fivethreeseven</v>
      </c>
      <c r="K539" s="170" t="s">
        <v>984</v>
      </c>
    </row>
    <row r="540" spans="6:11" ht="17.5" x14ac:dyDescent="0.35">
      <c r="F540" s="170">
        <v>538</v>
      </c>
      <c r="G540" s="170" t="s">
        <v>338</v>
      </c>
      <c r="H540" s="170" t="s">
        <v>345</v>
      </c>
      <c r="I540" s="173" t="s">
        <v>350</v>
      </c>
      <c r="J540" s="170" t="str">
        <f t="shared" si="8"/>
        <v>Fivethreeeight</v>
      </c>
      <c r="K540" s="170" t="s">
        <v>985</v>
      </c>
    </row>
    <row r="541" spans="6:11" ht="17.5" x14ac:dyDescent="0.35">
      <c r="F541" s="170">
        <v>539</v>
      </c>
      <c r="G541" s="170" t="s">
        <v>338</v>
      </c>
      <c r="H541" s="170" t="s">
        <v>345</v>
      </c>
      <c r="I541" s="173" t="s">
        <v>351</v>
      </c>
      <c r="J541" s="170" t="str">
        <f t="shared" si="8"/>
        <v>Fivethreenine</v>
      </c>
      <c r="K541" s="170" t="s">
        <v>986</v>
      </c>
    </row>
    <row r="542" spans="6:11" x14ac:dyDescent="0.35">
      <c r="F542" s="170">
        <v>540</v>
      </c>
      <c r="G542" s="170" t="s">
        <v>338</v>
      </c>
      <c r="H542" s="170" t="s">
        <v>346</v>
      </c>
      <c r="I542" s="170" t="s">
        <v>465</v>
      </c>
      <c r="J542" s="170" t="str">
        <f t="shared" si="8"/>
        <v>Fivefourzero</v>
      </c>
      <c r="K542" s="170" t="s">
        <v>987</v>
      </c>
    </row>
    <row r="543" spans="6:11" ht="17.5" x14ac:dyDescent="0.35">
      <c r="F543" s="170">
        <v>541</v>
      </c>
      <c r="G543" s="170" t="s">
        <v>338</v>
      </c>
      <c r="H543" s="170" t="s">
        <v>346</v>
      </c>
      <c r="I543" s="172" t="s">
        <v>343</v>
      </c>
      <c r="J543" s="170" t="str">
        <f t="shared" si="8"/>
        <v>Fivefourone</v>
      </c>
      <c r="K543" s="170" t="s">
        <v>988</v>
      </c>
    </row>
    <row r="544" spans="6:11" ht="17.5" x14ac:dyDescent="0.35">
      <c r="F544" s="170">
        <v>542</v>
      </c>
      <c r="G544" s="170" t="s">
        <v>338</v>
      </c>
      <c r="H544" s="170" t="s">
        <v>346</v>
      </c>
      <c r="I544" s="172" t="s">
        <v>344</v>
      </c>
      <c r="J544" s="170" t="str">
        <f t="shared" si="8"/>
        <v>Fivefourtwo</v>
      </c>
      <c r="K544" s="170" t="s">
        <v>989</v>
      </c>
    </row>
    <row r="545" spans="6:11" ht="17.5" x14ac:dyDescent="0.35">
      <c r="F545" s="170">
        <v>543</v>
      </c>
      <c r="G545" s="170" t="s">
        <v>338</v>
      </c>
      <c r="H545" s="170" t="s">
        <v>346</v>
      </c>
      <c r="I545" s="172" t="s">
        <v>345</v>
      </c>
      <c r="J545" s="170" t="str">
        <f t="shared" si="8"/>
        <v>Fivefourthree</v>
      </c>
      <c r="K545" s="170" t="s">
        <v>990</v>
      </c>
    </row>
    <row r="546" spans="6:11" ht="17.5" x14ac:dyDescent="0.35">
      <c r="F546" s="170">
        <v>544</v>
      </c>
      <c r="G546" s="170" t="s">
        <v>338</v>
      </c>
      <c r="H546" s="170" t="s">
        <v>346</v>
      </c>
      <c r="I546" s="173" t="s">
        <v>346</v>
      </c>
      <c r="J546" s="170" t="str">
        <f t="shared" si="8"/>
        <v>Fivefourfour</v>
      </c>
      <c r="K546" s="170" t="s">
        <v>991</v>
      </c>
    </row>
    <row r="547" spans="6:11" ht="17.5" x14ac:dyDescent="0.35">
      <c r="F547" s="170">
        <v>545</v>
      </c>
      <c r="G547" s="170" t="s">
        <v>338</v>
      </c>
      <c r="H547" s="170" t="s">
        <v>346</v>
      </c>
      <c r="I547" s="173" t="s">
        <v>347</v>
      </c>
      <c r="J547" s="170" t="str">
        <f t="shared" si="8"/>
        <v>Fivefourfive</v>
      </c>
      <c r="K547" s="170" t="s">
        <v>992</v>
      </c>
    </row>
    <row r="548" spans="6:11" ht="17.5" x14ac:dyDescent="0.35">
      <c r="F548" s="170">
        <v>546</v>
      </c>
      <c r="G548" s="170" t="s">
        <v>338</v>
      </c>
      <c r="H548" s="170" t="s">
        <v>346</v>
      </c>
      <c r="I548" s="173" t="s">
        <v>348</v>
      </c>
      <c r="J548" s="170" t="str">
        <f t="shared" si="8"/>
        <v>Fivefoursix</v>
      </c>
      <c r="K548" s="170" t="s">
        <v>993</v>
      </c>
    </row>
    <row r="549" spans="6:11" ht="17.5" x14ac:dyDescent="0.35">
      <c r="F549" s="170">
        <v>547</v>
      </c>
      <c r="G549" s="170" t="s">
        <v>338</v>
      </c>
      <c r="H549" s="170" t="s">
        <v>346</v>
      </c>
      <c r="I549" s="173" t="s">
        <v>349</v>
      </c>
      <c r="J549" s="170" t="str">
        <f t="shared" si="8"/>
        <v>Fivefourseven</v>
      </c>
      <c r="K549" s="170" t="s">
        <v>994</v>
      </c>
    </row>
    <row r="550" spans="6:11" ht="17.5" x14ac:dyDescent="0.35">
      <c r="F550" s="170">
        <v>548</v>
      </c>
      <c r="G550" s="170" t="s">
        <v>338</v>
      </c>
      <c r="H550" s="170" t="s">
        <v>346</v>
      </c>
      <c r="I550" s="173" t="s">
        <v>350</v>
      </c>
      <c r="J550" s="170" t="str">
        <f t="shared" ref="J550:J613" si="9">G550&amp;H550&amp;I550</f>
        <v>Fivefoureight</v>
      </c>
      <c r="K550" s="170" t="s">
        <v>995</v>
      </c>
    </row>
    <row r="551" spans="6:11" ht="17.5" x14ac:dyDescent="0.35">
      <c r="F551" s="170">
        <v>549</v>
      </c>
      <c r="G551" s="170" t="s">
        <v>338</v>
      </c>
      <c r="H551" s="170" t="s">
        <v>346</v>
      </c>
      <c r="I551" s="173" t="s">
        <v>351</v>
      </c>
      <c r="J551" s="170" t="str">
        <f t="shared" si="9"/>
        <v>Fivefournine</v>
      </c>
      <c r="K551" s="170" t="s">
        <v>996</v>
      </c>
    </row>
    <row r="552" spans="6:11" ht="17.5" x14ac:dyDescent="0.35">
      <c r="F552" s="170">
        <v>550</v>
      </c>
      <c r="G552" s="170" t="s">
        <v>338</v>
      </c>
      <c r="H552" s="170" t="s">
        <v>347</v>
      </c>
      <c r="I552" s="177" t="s">
        <v>465</v>
      </c>
      <c r="J552" s="170" t="str">
        <f t="shared" si="9"/>
        <v>Fivefivezero</v>
      </c>
      <c r="K552" s="170" t="s">
        <v>997</v>
      </c>
    </row>
    <row r="553" spans="6:11" ht="17.5" x14ac:dyDescent="0.35">
      <c r="F553" s="170">
        <v>551</v>
      </c>
      <c r="G553" s="170" t="s">
        <v>338</v>
      </c>
      <c r="H553" s="170" t="s">
        <v>347</v>
      </c>
      <c r="I553" s="172" t="s">
        <v>343</v>
      </c>
      <c r="J553" s="170" t="str">
        <f t="shared" si="9"/>
        <v>Fivefiveone</v>
      </c>
      <c r="K553" s="170" t="s">
        <v>998</v>
      </c>
    </row>
    <row r="554" spans="6:11" ht="17.5" x14ac:dyDescent="0.35">
      <c r="F554" s="170">
        <v>552</v>
      </c>
      <c r="G554" s="170" t="s">
        <v>338</v>
      </c>
      <c r="H554" s="170" t="s">
        <v>347</v>
      </c>
      <c r="I554" s="172" t="s">
        <v>344</v>
      </c>
      <c r="J554" s="170" t="str">
        <f t="shared" si="9"/>
        <v>Fivefivetwo</v>
      </c>
      <c r="K554" s="170" t="s">
        <v>999</v>
      </c>
    </row>
    <row r="555" spans="6:11" ht="17.5" x14ac:dyDescent="0.35">
      <c r="F555" s="170">
        <v>553</v>
      </c>
      <c r="G555" s="170" t="s">
        <v>338</v>
      </c>
      <c r="H555" s="170" t="s">
        <v>347</v>
      </c>
      <c r="I555" s="172" t="s">
        <v>345</v>
      </c>
      <c r="J555" s="170" t="str">
        <f t="shared" si="9"/>
        <v>Fivefivethree</v>
      </c>
      <c r="K555" s="170" t="s">
        <v>1000</v>
      </c>
    </row>
    <row r="556" spans="6:11" ht="17.5" x14ac:dyDescent="0.35">
      <c r="F556" s="170">
        <v>554</v>
      </c>
      <c r="G556" s="170" t="s">
        <v>338</v>
      </c>
      <c r="H556" s="170" t="s">
        <v>347</v>
      </c>
      <c r="I556" s="173" t="s">
        <v>346</v>
      </c>
      <c r="J556" s="170" t="str">
        <f t="shared" si="9"/>
        <v>Fivefivefour</v>
      </c>
      <c r="K556" s="170" t="s">
        <v>1001</v>
      </c>
    </row>
    <row r="557" spans="6:11" ht="17.5" x14ac:dyDescent="0.35">
      <c r="F557" s="170">
        <v>555</v>
      </c>
      <c r="G557" s="170" t="s">
        <v>338</v>
      </c>
      <c r="H557" s="170" t="s">
        <v>347</v>
      </c>
      <c r="I557" s="173" t="s">
        <v>347</v>
      </c>
      <c r="J557" s="170" t="str">
        <f t="shared" si="9"/>
        <v>Fivefivefive</v>
      </c>
      <c r="K557" s="170" t="s">
        <v>1002</v>
      </c>
    </row>
    <row r="558" spans="6:11" ht="17.5" x14ac:dyDescent="0.35">
      <c r="F558" s="170">
        <v>556</v>
      </c>
      <c r="G558" s="170" t="s">
        <v>338</v>
      </c>
      <c r="H558" s="170" t="s">
        <v>347</v>
      </c>
      <c r="I558" s="173" t="s">
        <v>348</v>
      </c>
      <c r="J558" s="170" t="str">
        <f t="shared" si="9"/>
        <v>Fivefivesix</v>
      </c>
      <c r="K558" s="170" t="s">
        <v>1003</v>
      </c>
    </row>
    <row r="559" spans="6:11" ht="17.5" x14ac:dyDescent="0.35">
      <c r="F559" s="170">
        <v>557</v>
      </c>
      <c r="G559" s="170" t="s">
        <v>338</v>
      </c>
      <c r="H559" s="170" t="s">
        <v>347</v>
      </c>
      <c r="I559" s="173" t="s">
        <v>349</v>
      </c>
      <c r="J559" s="170" t="str">
        <f t="shared" si="9"/>
        <v>Fivefiveseven</v>
      </c>
      <c r="K559" s="170" t="s">
        <v>1004</v>
      </c>
    </row>
    <row r="560" spans="6:11" ht="17.5" x14ac:dyDescent="0.35">
      <c r="F560" s="170">
        <v>558</v>
      </c>
      <c r="G560" s="170" t="s">
        <v>338</v>
      </c>
      <c r="H560" s="170" t="s">
        <v>347</v>
      </c>
      <c r="I560" s="173" t="s">
        <v>350</v>
      </c>
      <c r="J560" s="170" t="str">
        <f t="shared" si="9"/>
        <v>Fivefiveeight</v>
      </c>
      <c r="K560" s="170" t="s">
        <v>1005</v>
      </c>
    </row>
    <row r="561" spans="6:11" ht="17.5" x14ac:dyDescent="0.35">
      <c r="F561" s="170">
        <v>559</v>
      </c>
      <c r="G561" s="170" t="s">
        <v>338</v>
      </c>
      <c r="H561" s="170" t="s">
        <v>347</v>
      </c>
      <c r="I561" s="173" t="s">
        <v>351</v>
      </c>
      <c r="J561" s="170" t="str">
        <f t="shared" si="9"/>
        <v>Fivefivenine</v>
      </c>
      <c r="K561" s="170" t="s">
        <v>1006</v>
      </c>
    </row>
    <row r="562" spans="6:11" ht="17.5" x14ac:dyDescent="0.35">
      <c r="F562" s="170">
        <v>560</v>
      </c>
      <c r="G562" s="170" t="s">
        <v>338</v>
      </c>
      <c r="H562" s="170" t="s">
        <v>348</v>
      </c>
      <c r="I562" s="177" t="s">
        <v>465</v>
      </c>
      <c r="J562" s="170" t="str">
        <f t="shared" si="9"/>
        <v>Fivesixzero</v>
      </c>
      <c r="K562" s="170" t="s">
        <v>1007</v>
      </c>
    </row>
    <row r="563" spans="6:11" ht="17.5" x14ac:dyDescent="0.35">
      <c r="F563" s="170">
        <v>561</v>
      </c>
      <c r="G563" s="170" t="s">
        <v>338</v>
      </c>
      <c r="H563" s="170" t="s">
        <v>348</v>
      </c>
      <c r="I563" s="172" t="s">
        <v>343</v>
      </c>
      <c r="J563" s="170" t="str">
        <f t="shared" si="9"/>
        <v>Fivesixone</v>
      </c>
      <c r="K563" s="170" t="s">
        <v>1008</v>
      </c>
    </row>
    <row r="564" spans="6:11" ht="17.5" x14ac:dyDescent="0.35">
      <c r="F564" s="170">
        <v>562</v>
      </c>
      <c r="G564" s="170" t="s">
        <v>338</v>
      </c>
      <c r="H564" s="170" t="s">
        <v>348</v>
      </c>
      <c r="I564" s="172" t="s">
        <v>344</v>
      </c>
      <c r="J564" s="170" t="str">
        <f t="shared" si="9"/>
        <v>Fivesixtwo</v>
      </c>
      <c r="K564" s="170" t="s">
        <v>1009</v>
      </c>
    </row>
    <row r="565" spans="6:11" ht="17.5" x14ac:dyDescent="0.35">
      <c r="F565" s="170">
        <v>563</v>
      </c>
      <c r="G565" s="170" t="s">
        <v>338</v>
      </c>
      <c r="H565" s="170" t="s">
        <v>348</v>
      </c>
      <c r="I565" s="172" t="s">
        <v>345</v>
      </c>
      <c r="J565" s="170" t="str">
        <f t="shared" si="9"/>
        <v>Fivesixthree</v>
      </c>
      <c r="K565" s="170" t="s">
        <v>1010</v>
      </c>
    </row>
    <row r="566" spans="6:11" ht="17.5" x14ac:dyDescent="0.35">
      <c r="F566" s="170">
        <v>564</v>
      </c>
      <c r="G566" s="170" t="s">
        <v>338</v>
      </c>
      <c r="H566" s="170" t="s">
        <v>348</v>
      </c>
      <c r="I566" s="173" t="s">
        <v>346</v>
      </c>
      <c r="J566" s="170" t="str">
        <f t="shared" si="9"/>
        <v>Fivesixfour</v>
      </c>
      <c r="K566" s="170" t="s">
        <v>1011</v>
      </c>
    </row>
    <row r="567" spans="6:11" ht="17.5" x14ac:dyDescent="0.35">
      <c r="F567" s="170">
        <v>565</v>
      </c>
      <c r="G567" s="170" t="s">
        <v>338</v>
      </c>
      <c r="H567" s="170" t="s">
        <v>348</v>
      </c>
      <c r="I567" s="173" t="s">
        <v>347</v>
      </c>
      <c r="J567" s="170" t="str">
        <f t="shared" si="9"/>
        <v>Fivesixfive</v>
      </c>
      <c r="K567" s="170" t="s">
        <v>1012</v>
      </c>
    </row>
    <row r="568" spans="6:11" ht="17.5" x14ac:dyDescent="0.35">
      <c r="F568" s="170">
        <v>566</v>
      </c>
      <c r="G568" s="170" t="s">
        <v>338</v>
      </c>
      <c r="H568" s="170" t="s">
        <v>348</v>
      </c>
      <c r="I568" s="173" t="s">
        <v>348</v>
      </c>
      <c r="J568" s="170" t="str">
        <f t="shared" si="9"/>
        <v>Fivesixsix</v>
      </c>
      <c r="K568" s="170" t="s">
        <v>1013</v>
      </c>
    </row>
    <row r="569" spans="6:11" ht="17.5" x14ac:dyDescent="0.35">
      <c r="F569" s="170">
        <v>567</v>
      </c>
      <c r="G569" s="170" t="s">
        <v>338</v>
      </c>
      <c r="H569" s="170" t="s">
        <v>348</v>
      </c>
      <c r="I569" s="173" t="s">
        <v>349</v>
      </c>
      <c r="J569" s="170" t="str">
        <f t="shared" si="9"/>
        <v>Fivesixseven</v>
      </c>
      <c r="K569" s="170" t="s">
        <v>1014</v>
      </c>
    </row>
    <row r="570" spans="6:11" ht="17.5" x14ac:dyDescent="0.35">
      <c r="F570" s="170">
        <v>568</v>
      </c>
      <c r="G570" s="170" t="s">
        <v>338</v>
      </c>
      <c r="H570" s="170" t="s">
        <v>348</v>
      </c>
      <c r="I570" s="173" t="s">
        <v>350</v>
      </c>
      <c r="J570" s="170" t="str">
        <f t="shared" si="9"/>
        <v>Fivesixeight</v>
      </c>
      <c r="K570" s="170" t="s">
        <v>1015</v>
      </c>
    </row>
    <row r="571" spans="6:11" ht="17.5" x14ac:dyDescent="0.35">
      <c r="F571" s="170">
        <v>569</v>
      </c>
      <c r="G571" s="170" t="s">
        <v>338</v>
      </c>
      <c r="H571" s="170" t="s">
        <v>348</v>
      </c>
      <c r="I571" s="173" t="s">
        <v>351</v>
      </c>
      <c r="J571" s="170" t="str">
        <f t="shared" si="9"/>
        <v>Fivesixnine</v>
      </c>
      <c r="K571" s="170" t="s">
        <v>1016</v>
      </c>
    </row>
    <row r="572" spans="6:11" x14ac:dyDescent="0.35">
      <c r="F572" s="170">
        <v>570</v>
      </c>
      <c r="G572" s="170" t="s">
        <v>338</v>
      </c>
      <c r="H572" s="170" t="s">
        <v>349</v>
      </c>
      <c r="I572" s="170" t="s">
        <v>465</v>
      </c>
      <c r="J572" s="170" t="str">
        <f t="shared" si="9"/>
        <v>Fivesevenzero</v>
      </c>
      <c r="K572" s="170" t="s">
        <v>1017</v>
      </c>
    </row>
    <row r="573" spans="6:11" ht="17.5" x14ac:dyDescent="0.35">
      <c r="F573" s="170">
        <v>571</v>
      </c>
      <c r="G573" s="170" t="s">
        <v>338</v>
      </c>
      <c r="H573" s="170" t="s">
        <v>349</v>
      </c>
      <c r="I573" s="172" t="s">
        <v>343</v>
      </c>
      <c r="J573" s="170" t="str">
        <f t="shared" si="9"/>
        <v>Fivesevenone</v>
      </c>
      <c r="K573" s="170" t="s">
        <v>1018</v>
      </c>
    </row>
    <row r="574" spans="6:11" ht="17.5" x14ac:dyDescent="0.35">
      <c r="F574" s="170">
        <v>572</v>
      </c>
      <c r="G574" s="170" t="s">
        <v>338</v>
      </c>
      <c r="H574" s="170" t="s">
        <v>349</v>
      </c>
      <c r="I574" s="172" t="s">
        <v>344</v>
      </c>
      <c r="J574" s="170" t="str">
        <f t="shared" si="9"/>
        <v>Fiveseventwo</v>
      </c>
      <c r="K574" s="170" t="s">
        <v>1019</v>
      </c>
    </row>
    <row r="575" spans="6:11" ht="17.5" x14ac:dyDescent="0.35">
      <c r="F575" s="170">
        <v>573</v>
      </c>
      <c r="G575" s="170" t="s">
        <v>338</v>
      </c>
      <c r="H575" s="170" t="s">
        <v>349</v>
      </c>
      <c r="I575" s="172" t="s">
        <v>345</v>
      </c>
      <c r="J575" s="170" t="str">
        <f t="shared" si="9"/>
        <v>Fiveseventhree</v>
      </c>
      <c r="K575" s="170" t="s">
        <v>1020</v>
      </c>
    </row>
    <row r="576" spans="6:11" ht="17.5" x14ac:dyDescent="0.35">
      <c r="F576" s="170">
        <v>574</v>
      </c>
      <c r="G576" s="170" t="s">
        <v>338</v>
      </c>
      <c r="H576" s="170" t="s">
        <v>349</v>
      </c>
      <c r="I576" s="173" t="s">
        <v>346</v>
      </c>
      <c r="J576" s="170" t="str">
        <f t="shared" si="9"/>
        <v>Fivesevenfour</v>
      </c>
      <c r="K576" s="170" t="s">
        <v>1021</v>
      </c>
    </row>
    <row r="577" spans="6:11" ht="17.5" x14ac:dyDescent="0.35">
      <c r="F577" s="170">
        <v>575</v>
      </c>
      <c r="G577" s="170" t="s">
        <v>338</v>
      </c>
      <c r="H577" s="170" t="s">
        <v>349</v>
      </c>
      <c r="I577" s="173" t="s">
        <v>347</v>
      </c>
      <c r="J577" s="170" t="str">
        <f t="shared" si="9"/>
        <v>Fivesevenfive</v>
      </c>
      <c r="K577" s="170" t="s">
        <v>1022</v>
      </c>
    </row>
    <row r="578" spans="6:11" ht="17.5" x14ac:dyDescent="0.35">
      <c r="F578" s="170">
        <v>576</v>
      </c>
      <c r="G578" s="170" t="s">
        <v>338</v>
      </c>
      <c r="H578" s="170" t="s">
        <v>349</v>
      </c>
      <c r="I578" s="173" t="s">
        <v>348</v>
      </c>
      <c r="J578" s="170" t="str">
        <f t="shared" si="9"/>
        <v>Fivesevensix</v>
      </c>
      <c r="K578" s="170" t="s">
        <v>1023</v>
      </c>
    </row>
    <row r="579" spans="6:11" ht="17.5" x14ac:dyDescent="0.35">
      <c r="F579" s="170">
        <v>577</v>
      </c>
      <c r="G579" s="170" t="s">
        <v>338</v>
      </c>
      <c r="H579" s="170" t="s">
        <v>349</v>
      </c>
      <c r="I579" s="173" t="s">
        <v>349</v>
      </c>
      <c r="J579" s="170" t="str">
        <f t="shared" si="9"/>
        <v>Fivesevenseven</v>
      </c>
      <c r="K579" s="170" t="s">
        <v>1024</v>
      </c>
    </row>
    <row r="580" spans="6:11" ht="17.5" x14ac:dyDescent="0.35">
      <c r="F580" s="170">
        <v>578</v>
      </c>
      <c r="G580" s="170" t="s">
        <v>338</v>
      </c>
      <c r="H580" s="170" t="s">
        <v>349</v>
      </c>
      <c r="I580" s="173" t="s">
        <v>350</v>
      </c>
      <c r="J580" s="170" t="str">
        <f t="shared" si="9"/>
        <v>Fiveseveneight</v>
      </c>
      <c r="K580" s="170" t="s">
        <v>1025</v>
      </c>
    </row>
    <row r="581" spans="6:11" ht="17.5" x14ac:dyDescent="0.35">
      <c r="F581" s="170">
        <v>579</v>
      </c>
      <c r="G581" s="170" t="s">
        <v>338</v>
      </c>
      <c r="H581" s="170" t="s">
        <v>349</v>
      </c>
      <c r="I581" s="173" t="s">
        <v>351</v>
      </c>
      <c r="J581" s="170" t="str">
        <f t="shared" si="9"/>
        <v>Fivesevennine</v>
      </c>
      <c r="K581" s="170" t="s">
        <v>1026</v>
      </c>
    </row>
    <row r="582" spans="6:11" x14ac:dyDescent="0.35">
      <c r="F582" s="170">
        <v>580</v>
      </c>
      <c r="G582" s="170" t="s">
        <v>338</v>
      </c>
      <c r="H582" s="170" t="s">
        <v>350</v>
      </c>
      <c r="I582" s="170" t="s">
        <v>465</v>
      </c>
      <c r="J582" s="170" t="str">
        <f t="shared" si="9"/>
        <v>Fiveeightzero</v>
      </c>
      <c r="K582" s="170" t="s">
        <v>1027</v>
      </c>
    </row>
    <row r="583" spans="6:11" ht="17.5" x14ac:dyDescent="0.35">
      <c r="F583" s="170">
        <v>581</v>
      </c>
      <c r="G583" s="170" t="s">
        <v>338</v>
      </c>
      <c r="H583" s="170" t="s">
        <v>350</v>
      </c>
      <c r="I583" s="172" t="s">
        <v>343</v>
      </c>
      <c r="J583" s="170" t="str">
        <f t="shared" si="9"/>
        <v>Fiveeightone</v>
      </c>
      <c r="K583" s="170" t="s">
        <v>1028</v>
      </c>
    </row>
    <row r="584" spans="6:11" ht="17.5" x14ac:dyDescent="0.35">
      <c r="F584" s="170">
        <v>582</v>
      </c>
      <c r="G584" s="170" t="s">
        <v>338</v>
      </c>
      <c r="H584" s="170" t="s">
        <v>350</v>
      </c>
      <c r="I584" s="172" t="s">
        <v>344</v>
      </c>
      <c r="J584" s="170" t="str">
        <f t="shared" si="9"/>
        <v>Fiveeighttwo</v>
      </c>
      <c r="K584" s="170" t="s">
        <v>1029</v>
      </c>
    </row>
    <row r="585" spans="6:11" ht="17.5" x14ac:dyDescent="0.35">
      <c r="F585" s="170">
        <v>583</v>
      </c>
      <c r="G585" s="170" t="s">
        <v>338</v>
      </c>
      <c r="H585" s="170" t="s">
        <v>350</v>
      </c>
      <c r="I585" s="172" t="s">
        <v>345</v>
      </c>
      <c r="J585" s="170" t="str">
        <f t="shared" si="9"/>
        <v>Fiveeightthree</v>
      </c>
      <c r="K585" s="170" t="s">
        <v>1030</v>
      </c>
    </row>
    <row r="586" spans="6:11" ht="17.5" x14ac:dyDescent="0.35">
      <c r="F586" s="170">
        <v>584</v>
      </c>
      <c r="G586" s="170" t="s">
        <v>338</v>
      </c>
      <c r="H586" s="170" t="s">
        <v>350</v>
      </c>
      <c r="I586" s="173" t="s">
        <v>346</v>
      </c>
      <c r="J586" s="170" t="str">
        <f t="shared" si="9"/>
        <v>Fiveeightfour</v>
      </c>
      <c r="K586" s="170" t="s">
        <v>1031</v>
      </c>
    </row>
    <row r="587" spans="6:11" ht="17.5" x14ac:dyDescent="0.35">
      <c r="F587" s="170">
        <v>585</v>
      </c>
      <c r="G587" s="170" t="s">
        <v>338</v>
      </c>
      <c r="H587" s="170" t="s">
        <v>350</v>
      </c>
      <c r="I587" s="173" t="s">
        <v>347</v>
      </c>
      <c r="J587" s="170" t="str">
        <f t="shared" si="9"/>
        <v>Fiveeightfive</v>
      </c>
      <c r="K587" s="170" t="s">
        <v>1032</v>
      </c>
    </row>
    <row r="588" spans="6:11" ht="17.5" x14ac:dyDescent="0.35">
      <c r="F588" s="170">
        <v>586</v>
      </c>
      <c r="G588" s="170" t="s">
        <v>338</v>
      </c>
      <c r="H588" s="170" t="s">
        <v>350</v>
      </c>
      <c r="I588" s="173" t="s">
        <v>348</v>
      </c>
      <c r="J588" s="170" t="str">
        <f t="shared" si="9"/>
        <v>Fiveeightsix</v>
      </c>
      <c r="K588" s="170" t="s">
        <v>1033</v>
      </c>
    </row>
    <row r="589" spans="6:11" ht="17.5" x14ac:dyDescent="0.35">
      <c r="F589" s="170">
        <v>587</v>
      </c>
      <c r="G589" s="170" t="s">
        <v>338</v>
      </c>
      <c r="H589" s="170" t="s">
        <v>350</v>
      </c>
      <c r="I589" s="173" t="s">
        <v>349</v>
      </c>
      <c r="J589" s="170" t="str">
        <f t="shared" si="9"/>
        <v>Fiveeightseven</v>
      </c>
      <c r="K589" s="170" t="s">
        <v>1034</v>
      </c>
    </row>
    <row r="590" spans="6:11" ht="17.5" x14ac:dyDescent="0.35">
      <c r="F590" s="170">
        <v>588</v>
      </c>
      <c r="G590" s="170" t="s">
        <v>338</v>
      </c>
      <c r="H590" s="170" t="s">
        <v>350</v>
      </c>
      <c r="I590" s="173" t="s">
        <v>350</v>
      </c>
      <c r="J590" s="170" t="str">
        <f t="shared" si="9"/>
        <v>Fiveeighteight</v>
      </c>
      <c r="K590" s="170" t="s">
        <v>1035</v>
      </c>
    </row>
    <row r="591" spans="6:11" ht="17.5" x14ac:dyDescent="0.35">
      <c r="F591" s="170">
        <v>589</v>
      </c>
      <c r="G591" s="170" t="s">
        <v>338</v>
      </c>
      <c r="H591" s="170" t="s">
        <v>350</v>
      </c>
      <c r="I591" s="173" t="s">
        <v>351</v>
      </c>
      <c r="J591" s="170" t="str">
        <f t="shared" si="9"/>
        <v>Fiveeightnine</v>
      </c>
      <c r="K591" s="170" t="s">
        <v>1036</v>
      </c>
    </row>
    <row r="592" spans="6:11" ht="17.5" x14ac:dyDescent="0.35">
      <c r="F592" s="170">
        <v>590</v>
      </c>
      <c r="G592" s="170" t="s">
        <v>338</v>
      </c>
      <c r="H592" s="170" t="s">
        <v>351</v>
      </c>
      <c r="I592" s="177" t="s">
        <v>465</v>
      </c>
      <c r="J592" s="170" t="str">
        <f t="shared" si="9"/>
        <v>Fiveninezero</v>
      </c>
      <c r="K592" s="170" t="s">
        <v>1037</v>
      </c>
    </row>
    <row r="593" spans="6:11" ht="17.5" x14ac:dyDescent="0.35">
      <c r="F593" s="170">
        <v>591</v>
      </c>
      <c r="G593" s="170" t="s">
        <v>338</v>
      </c>
      <c r="H593" s="170" t="s">
        <v>351</v>
      </c>
      <c r="I593" s="172" t="s">
        <v>343</v>
      </c>
      <c r="J593" s="170" t="str">
        <f t="shared" si="9"/>
        <v>Fivenineone</v>
      </c>
      <c r="K593" s="170" t="s">
        <v>1038</v>
      </c>
    </row>
    <row r="594" spans="6:11" ht="17.5" x14ac:dyDescent="0.35">
      <c r="F594" s="170">
        <v>592</v>
      </c>
      <c r="G594" s="170" t="s">
        <v>338</v>
      </c>
      <c r="H594" s="170" t="s">
        <v>351</v>
      </c>
      <c r="I594" s="172" t="s">
        <v>344</v>
      </c>
      <c r="J594" s="170" t="str">
        <f t="shared" si="9"/>
        <v>Fiveninetwo</v>
      </c>
      <c r="K594" s="170" t="s">
        <v>1039</v>
      </c>
    </row>
    <row r="595" spans="6:11" ht="17.5" x14ac:dyDescent="0.35">
      <c r="F595" s="170">
        <v>593</v>
      </c>
      <c r="G595" s="170" t="s">
        <v>338</v>
      </c>
      <c r="H595" s="170" t="s">
        <v>351</v>
      </c>
      <c r="I595" s="172" t="s">
        <v>345</v>
      </c>
      <c r="J595" s="170" t="str">
        <f t="shared" si="9"/>
        <v>Fiveninethree</v>
      </c>
      <c r="K595" s="170" t="s">
        <v>1040</v>
      </c>
    </row>
    <row r="596" spans="6:11" ht="17.5" x14ac:dyDescent="0.35">
      <c r="F596" s="170">
        <v>594</v>
      </c>
      <c r="G596" s="170" t="s">
        <v>338</v>
      </c>
      <c r="H596" s="170" t="s">
        <v>351</v>
      </c>
      <c r="I596" s="173" t="s">
        <v>346</v>
      </c>
      <c r="J596" s="170" t="str">
        <f t="shared" si="9"/>
        <v>Fiveninefour</v>
      </c>
      <c r="K596" s="170" t="s">
        <v>1041</v>
      </c>
    </row>
    <row r="597" spans="6:11" ht="17.5" x14ac:dyDescent="0.35">
      <c r="F597" s="170">
        <v>595</v>
      </c>
      <c r="G597" s="170" t="s">
        <v>338</v>
      </c>
      <c r="H597" s="170" t="s">
        <v>351</v>
      </c>
      <c r="I597" s="173" t="s">
        <v>347</v>
      </c>
      <c r="J597" s="170" t="str">
        <f t="shared" si="9"/>
        <v>Fiveninefive</v>
      </c>
      <c r="K597" s="170" t="s">
        <v>1042</v>
      </c>
    </row>
    <row r="598" spans="6:11" ht="17.5" x14ac:dyDescent="0.35">
      <c r="F598" s="170">
        <v>596</v>
      </c>
      <c r="G598" s="170" t="s">
        <v>338</v>
      </c>
      <c r="H598" s="170" t="s">
        <v>351</v>
      </c>
      <c r="I598" s="173" t="s">
        <v>348</v>
      </c>
      <c r="J598" s="170" t="str">
        <f t="shared" si="9"/>
        <v>Fiveninesix</v>
      </c>
      <c r="K598" s="170" t="s">
        <v>1043</v>
      </c>
    </row>
    <row r="599" spans="6:11" ht="17.5" x14ac:dyDescent="0.35">
      <c r="F599" s="170">
        <v>597</v>
      </c>
      <c r="G599" s="170" t="s">
        <v>338</v>
      </c>
      <c r="H599" s="170" t="s">
        <v>351</v>
      </c>
      <c r="I599" s="173" t="s">
        <v>349</v>
      </c>
      <c r="J599" s="170" t="str">
        <f t="shared" si="9"/>
        <v>Fivenineseven</v>
      </c>
      <c r="K599" s="170" t="s">
        <v>1044</v>
      </c>
    </row>
    <row r="600" spans="6:11" ht="17.5" x14ac:dyDescent="0.35">
      <c r="F600" s="170">
        <v>598</v>
      </c>
      <c r="G600" s="170" t="s">
        <v>338</v>
      </c>
      <c r="H600" s="170" t="s">
        <v>351</v>
      </c>
      <c r="I600" s="173" t="s">
        <v>350</v>
      </c>
      <c r="J600" s="170" t="str">
        <f t="shared" si="9"/>
        <v>Fivenineeight</v>
      </c>
      <c r="K600" s="170" t="s">
        <v>1045</v>
      </c>
    </row>
    <row r="601" spans="6:11" ht="17.5" x14ac:dyDescent="0.35">
      <c r="F601" s="170">
        <v>599</v>
      </c>
      <c r="G601" s="170" t="s">
        <v>338</v>
      </c>
      <c r="H601" s="170" t="s">
        <v>351</v>
      </c>
      <c r="I601" s="173" t="s">
        <v>351</v>
      </c>
      <c r="J601" s="170" t="str">
        <f t="shared" si="9"/>
        <v>Fiveninenine</v>
      </c>
      <c r="K601" s="170" t="s">
        <v>1046</v>
      </c>
    </row>
    <row r="602" spans="6:11" ht="17.5" x14ac:dyDescent="0.35">
      <c r="F602" s="170">
        <v>600</v>
      </c>
      <c r="G602" s="170" t="s">
        <v>339</v>
      </c>
      <c r="H602" s="170" t="s">
        <v>465</v>
      </c>
      <c r="I602" s="177" t="s">
        <v>465</v>
      </c>
      <c r="J602" s="170" t="str">
        <f t="shared" si="9"/>
        <v>Sixzerozero</v>
      </c>
      <c r="K602" s="170" t="s">
        <v>1047</v>
      </c>
    </row>
    <row r="603" spans="6:11" ht="17.5" x14ac:dyDescent="0.35">
      <c r="F603" s="170">
        <v>601</v>
      </c>
      <c r="G603" s="170" t="s">
        <v>339</v>
      </c>
      <c r="H603" s="170" t="s">
        <v>465</v>
      </c>
      <c r="I603" s="172" t="s">
        <v>343</v>
      </c>
      <c r="J603" s="170" t="str">
        <f t="shared" si="9"/>
        <v>Sixzeroone</v>
      </c>
      <c r="K603" s="170" t="s">
        <v>1048</v>
      </c>
    </row>
    <row r="604" spans="6:11" ht="17.5" x14ac:dyDescent="0.35">
      <c r="F604" s="170">
        <v>602</v>
      </c>
      <c r="G604" s="170" t="s">
        <v>339</v>
      </c>
      <c r="H604" s="170" t="s">
        <v>465</v>
      </c>
      <c r="I604" s="172" t="s">
        <v>344</v>
      </c>
      <c r="J604" s="170" t="str">
        <f t="shared" si="9"/>
        <v>Sixzerotwo</v>
      </c>
      <c r="K604" s="170" t="s">
        <v>1049</v>
      </c>
    </row>
    <row r="605" spans="6:11" ht="17.5" x14ac:dyDescent="0.35">
      <c r="F605" s="170">
        <v>603</v>
      </c>
      <c r="G605" s="170" t="s">
        <v>339</v>
      </c>
      <c r="H605" s="170" t="s">
        <v>465</v>
      </c>
      <c r="I605" s="172" t="s">
        <v>345</v>
      </c>
      <c r="J605" s="170" t="str">
        <f t="shared" si="9"/>
        <v>Sixzerothree</v>
      </c>
      <c r="K605" s="170" t="s">
        <v>1050</v>
      </c>
    </row>
    <row r="606" spans="6:11" ht="17.5" x14ac:dyDescent="0.35">
      <c r="F606" s="170">
        <v>604</v>
      </c>
      <c r="G606" s="170" t="s">
        <v>339</v>
      </c>
      <c r="H606" s="170" t="s">
        <v>465</v>
      </c>
      <c r="I606" s="173" t="s">
        <v>346</v>
      </c>
      <c r="J606" s="170" t="str">
        <f t="shared" si="9"/>
        <v>Sixzerofour</v>
      </c>
      <c r="K606" s="170" t="s">
        <v>1051</v>
      </c>
    </row>
    <row r="607" spans="6:11" ht="17.5" x14ac:dyDescent="0.35">
      <c r="F607" s="170">
        <v>605</v>
      </c>
      <c r="G607" s="170" t="s">
        <v>339</v>
      </c>
      <c r="H607" s="170" t="s">
        <v>465</v>
      </c>
      <c r="I607" s="173" t="s">
        <v>347</v>
      </c>
      <c r="J607" s="170" t="str">
        <f t="shared" si="9"/>
        <v>Sixzerofive</v>
      </c>
      <c r="K607" s="170" t="s">
        <v>1052</v>
      </c>
    </row>
    <row r="608" spans="6:11" ht="17.5" x14ac:dyDescent="0.35">
      <c r="F608" s="170">
        <v>606</v>
      </c>
      <c r="G608" s="170" t="s">
        <v>339</v>
      </c>
      <c r="H608" s="170" t="s">
        <v>465</v>
      </c>
      <c r="I608" s="173" t="s">
        <v>348</v>
      </c>
      <c r="J608" s="170" t="str">
        <f t="shared" si="9"/>
        <v>Sixzerosix</v>
      </c>
      <c r="K608" s="170" t="s">
        <v>1053</v>
      </c>
    </row>
    <row r="609" spans="6:11" ht="17.5" x14ac:dyDescent="0.35">
      <c r="F609" s="170">
        <v>607</v>
      </c>
      <c r="G609" s="170" t="s">
        <v>339</v>
      </c>
      <c r="H609" s="170" t="s">
        <v>465</v>
      </c>
      <c r="I609" s="173" t="s">
        <v>349</v>
      </c>
      <c r="J609" s="170" t="str">
        <f t="shared" si="9"/>
        <v>Sixzeroseven</v>
      </c>
      <c r="K609" s="170" t="s">
        <v>1054</v>
      </c>
    </row>
    <row r="610" spans="6:11" ht="17.5" x14ac:dyDescent="0.35">
      <c r="F610" s="170">
        <v>608</v>
      </c>
      <c r="G610" s="170" t="s">
        <v>339</v>
      </c>
      <c r="H610" s="170" t="s">
        <v>465</v>
      </c>
      <c r="I610" s="173" t="s">
        <v>350</v>
      </c>
      <c r="J610" s="170" t="str">
        <f t="shared" si="9"/>
        <v>Sixzeroeight</v>
      </c>
      <c r="K610" s="170" t="s">
        <v>1055</v>
      </c>
    </row>
    <row r="611" spans="6:11" ht="17.5" x14ac:dyDescent="0.35">
      <c r="F611" s="170">
        <v>609</v>
      </c>
      <c r="G611" s="170" t="s">
        <v>339</v>
      </c>
      <c r="H611" s="170" t="s">
        <v>465</v>
      </c>
      <c r="I611" s="173" t="s">
        <v>351</v>
      </c>
      <c r="J611" s="170" t="str">
        <f t="shared" si="9"/>
        <v>Sixzeronine</v>
      </c>
      <c r="K611" s="170" t="s">
        <v>1056</v>
      </c>
    </row>
    <row r="612" spans="6:11" ht="17.5" x14ac:dyDescent="0.35">
      <c r="F612" s="170">
        <v>610</v>
      </c>
      <c r="G612" s="170" t="s">
        <v>339</v>
      </c>
      <c r="H612" s="172" t="s">
        <v>343</v>
      </c>
      <c r="I612" s="170" t="s">
        <v>465</v>
      </c>
      <c r="J612" s="170" t="str">
        <f t="shared" si="9"/>
        <v>Sixonezero</v>
      </c>
      <c r="K612" s="170" t="s">
        <v>1057</v>
      </c>
    </row>
    <row r="613" spans="6:11" ht="17.5" x14ac:dyDescent="0.35">
      <c r="F613" s="170">
        <v>611</v>
      </c>
      <c r="G613" s="170" t="s">
        <v>339</v>
      </c>
      <c r="H613" s="172" t="s">
        <v>343</v>
      </c>
      <c r="I613" s="172" t="s">
        <v>343</v>
      </c>
      <c r="J613" s="170" t="str">
        <f t="shared" si="9"/>
        <v>Sixoneone</v>
      </c>
      <c r="K613" s="170" t="s">
        <v>1058</v>
      </c>
    </row>
    <row r="614" spans="6:11" ht="17.5" x14ac:dyDescent="0.35">
      <c r="F614" s="170">
        <v>612</v>
      </c>
      <c r="G614" s="170" t="s">
        <v>339</v>
      </c>
      <c r="H614" s="172" t="s">
        <v>343</v>
      </c>
      <c r="I614" s="172" t="s">
        <v>344</v>
      </c>
      <c r="J614" s="170" t="str">
        <f t="shared" ref="J614:J677" si="10">G614&amp;H614&amp;I614</f>
        <v>Sixonetwo</v>
      </c>
      <c r="K614" s="170" t="s">
        <v>1059</v>
      </c>
    </row>
    <row r="615" spans="6:11" ht="17.5" x14ac:dyDescent="0.35">
      <c r="F615" s="170">
        <v>613</v>
      </c>
      <c r="G615" s="170" t="s">
        <v>339</v>
      </c>
      <c r="H615" s="172" t="s">
        <v>343</v>
      </c>
      <c r="I615" s="172" t="s">
        <v>345</v>
      </c>
      <c r="J615" s="170" t="str">
        <f t="shared" si="10"/>
        <v>Sixonethree</v>
      </c>
      <c r="K615" s="170" t="s">
        <v>1060</v>
      </c>
    </row>
    <row r="616" spans="6:11" ht="17.5" x14ac:dyDescent="0.35">
      <c r="F616" s="170">
        <v>614</v>
      </c>
      <c r="G616" s="170" t="s">
        <v>339</v>
      </c>
      <c r="H616" s="172" t="s">
        <v>343</v>
      </c>
      <c r="I616" s="173" t="s">
        <v>346</v>
      </c>
      <c r="J616" s="170" t="str">
        <f t="shared" si="10"/>
        <v>Sixonefour</v>
      </c>
      <c r="K616" s="170" t="s">
        <v>1061</v>
      </c>
    </row>
    <row r="617" spans="6:11" ht="17.5" x14ac:dyDescent="0.35">
      <c r="F617" s="170">
        <v>615</v>
      </c>
      <c r="G617" s="170" t="s">
        <v>339</v>
      </c>
      <c r="H617" s="172" t="s">
        <v>343</v>
      </c>
      <c r="I617" s="173" t="s">
        <v>347</v>
      </c>
      <c r="J617" s="170" t="str">
        <f t="shared" si="10"/>
        <v>Sixonefive</v>
      </c>
      <c r="K617" s="170" t="s">
        <v>1062</v>
      </c>
    </row>
    <row r="618" spans="6:11" ht="17.5" x14ac:dyDescent="0.35">
      <c r="F618" s="170">
        <v>616</v>
      </c>
      <c r="G618" s="170" t="s">
        <v>339</v>
      </c>
      <c r="H618" s="172" t="s">
        <v>343</v>
      </c>
      <c r="I618" s="173" t="s">
        <v>348</v>
      </c>
      <c r="J618" s="170" t="str">
        <f t="shared" si="10"/>
        <v>Sixonesix</v>
      </c>
      <c r="K618" s="170" t="s">
        <v>1063</v>
      </c>
    </row>
    <row r="619" spans="6:11" ht="17.5" x14ac:dyDescent="0.35">
      <c r="F619" s="170">
        <v>617</v>
      </c>
      <c r="G619" s="170" t="s">
        <v>339</v>
      </c>
      <c r="H619" s="172" t="s">
        <v>343</v>
      </c>
      <c r="I619" s="173" t="s">
        <v>349</v>
      </c>
      <c r="J619" s="170" t="str">
        <f t="shared" si="10"/>
        <v>Sixoneseven</v>
      </c>
      <c r="K619" s="170" t="s">
        <v>1064</v>
      </c>
    </row>
    <row r="620" spans="6:11" ht="17.5" x14ac:dyDescent="0.35">
      <c r="F620" s="170">
        <v>618</v>
      </c>
      <c r="G620" s="170" t="s">
        <v>339</v>
      </c>
      <c r="H620" s="172" t="s">
        <v>343</v>
      </c>
      <c r="I620" s="173" t="s">
        <v>350</v>
      </c>
      <c r="J620" s="170" t="str">
        <f t="shared" si="10"/>
        <v>Sixoneeight</v>
      </c>
      <c r="K620" s="170" t="s">
        <v>1065</v>
      </c>
    </row>
    <row r="621" spans="6:11" ht="17.5" x14ac:dyDescent="0.35">
      <c r="F621" s="170">
        <v>619</v>
      </c>
      <c r="G621" s="170" t="s">
        <v>339</v>
      </c>
      <c r="H621" s="172" t="s">
        <v>343</v>
      </c>
      <c r="I621" s="173" t="s">
        <v>351</v>
      </c>
      <c r="J621" s="170" t="str">
        <f t="shared" si="10"/>
        <v>Sixonenine</v>
      </c>
      <c r="K621" s="170" t="s">
        <v>1066</v>
      </c>
    </row>
    <row r="622" spans="6:11" x14ac:dyDescent="0.35">
      <c r="F622" s="170">
        <v>620</v>
      </c>
      <c r="G622" s="170" t="s">
        <v>339</v>
      </c>
      <c r="H622" s="170" t="s">
        <v>344</v>
      </c>
      <c r="I622" s="170" t="s">
        <v>465</v>
      </c>
      <c r="J622" s="170" t="str">
        <f t="shared" si="10"/>
        <v>Sixtwozero</v>
      </c>
      <c r="K622" s="170" t="s">
        <v>1067</v>
      </c>
    </row>
    <row r="623" spans="6:11" ht="17.5" x14ac:dyDescent="0.35">
      <c r="F623" s="170">
        <v>621</v>
      </c>
      <c r="G623" s="170" t="s">
        <v>339</v>
      </c>
      <c r="H623" s="170" t="s">
        <v>344</v>
      </c>
      <c r="I623" s="172" t="s">
        <v>343</v>
      </c>
      <c r="J623" s="170" t="str">
        <f t="shared" si="10"/>
        <v>Sixtwoone</v>
      </c>
      <c r="K623" s="170" t="s">
        <v>1068</v>
      </c>
    </row>
    <row r="624" spans="6:11" ht="17.5" x14ac:dyDescent="0.35">
      <c r="F624" s="170">
        <v>622</v>
      </c>
      <c r="G624" s="170" t="s">
        <v>339</v>
      </c>
      <c r="H624" s="170" t="s">
        <v>344</v>
      </c>
      <c r="I624" s="172" t="s">
        <v>344</v>
      </c>
      <c r="J624" s="170" t="str">
        <f t="shared" si="10"/>
        <v>Sixtwotwo</v>
      </c>
      <c r="K624" s="170" t="s">
        <v>1069</v>
      </c>
    </row>
    <row r="625" spans="6:11" ht="17.5" x14ac:dyDescent="0.35">
      <c r="F625" s="170">
        <v>623</v>
      </c>
      <c r="G625" s="170" t="s">
        <v>339</v>
      </c>
      <c r="H625" s="170" t="s">
        <v>344</v>
      </c>
      <c r="I625" s="172" t="s">
        <v>345</v>
      </c>
      <c r="J625" s="170" t="str">
        <f t="shared" si="10"/>
        <v>Sixtwothree</v>
      </c>
      <c r="K625" s="170" t="s">
        <v>1070</v>
      </c>
    </row>
    <row r="626" spans="6:11" ht="17.5" x14ac:dyDescent="0.35">
      <c r="F626" s="170">
        <v>624</v>
      </c>
      <c r="G626" s="170" t="s">
        <v>339</v>
      </c>
      <c r="H626" s="170" t="s">
        <v>344</v>
      </c>
      <c r="I626" s="173" t="s">
        <v>346</v>
      </c>
      <c r="J626" s="170" t="str">
        <f t="shared" si="10"/>
        <v>Sixtwofour</v>
      </c>
      <c r="K626" s="170" t="s">
        <v>1071</v>
      </c>
    </row>
    <row r="627" spans="6:11" ht="17.5" x14ac:dyDescent="0.35">
      <c r="F627" s="170">
        <v>625</v>
      </c>
      <c r="G627" s="170" t="s">
        <v>339</v>
      </c>
      <c r="H627" s="170" t="s">
        <v>344</v>
      </c>
      <c r="I627" s="173" t="s">
        <v>347</v>
      </c>
      <c r="J627" s="170" t="str">
        <f t="shared" si="10"/>
        <v>Sixtwofive</v>
      </c>
      <c r="K627" s="170" t="s">
        <v>1072</v>
      </c>
    </row>
    <row r="628" spans="6:11" ht="17.5" x14ac:dyDescent="0.35">
      <c r="F628" s="170">
        <v>626</v>
      </c>
      <c r="G628" s="170" t="s">
        <v>339</v>
      </c>
      <c r="H628" s="170" t="s">
        <v>344</v>
      </c>
      <c r="I628" s="173" t="s">
        <v>348</v>
      </c>
      <c r="J628" s="170" t="str">
        <f t="shared" si="10"/>
        <v>Sixtwosix</v>
      </c>
      <c r="K628" s="170" t="s">
        <v>1073</v>
      </c>
    </row>
    <row r="629" spans="6:11" ht="17.5" x14ac:dyDescent="0.35">
      <c r="F629" s="170">
        <v>627</v>
      </c>
      <c r="G629" s="170" t="s">
        <v>339</v>
      </c>
      <c r="H629" s="170" t="s">
        <v>344</v>
      </c>
      <c r="I629" s="173" t="s">
        <v>349</v>
      </c>
      <c r="J629" s="170" t="str">
        <f t="shared" si="10"/>
        <v>Sixtwoseven</v>
      </c>
      <c r="K629" s="170" t="s">
        <v>1074</v>
      </c>
    </row>
    <row r="630" spans="6:11" ht="17.5" x14ac:dyDescent="0.35">
      <c r="F630" s="170">
        <v>628</v>
      </c>
      <c r="G630" s="170" t="s">
        <v>339</v>
      </c>
      <c r="H630" s="170" t="s">
        <v>344</v>
      </c>
      <c r="I630" s="173" t="s">
        <v>350</v>
      </c>
      <c r="J630" s="170" t="str">
        <f t="shared" si="10"/>
        <v>Sixtwoeight</v>
      </c>
      <c r="K630" s="170" t="s">
        <v>1075</v>
      </c>
    </row>
    <row r="631" spans="6:11" ht="17.5" x14ac:dyDescent="0.35">
      <c r="F631" s="170">
        <v>629</v>
      </c>
      <c r="G631" s="170" t="s">
        <v>339</v>
      </c>
      <c r="H631" s="170" t="s">
        <v>344</v>
      </c>
      <c r="I631" s="173" t="s">
        <v>351</v>
      </c>
      <c r="J631" s="170" t="str">
        <f t="shared" si="10"/>
        <v>Sixtwonine</v>
      </c>
      <c r="K631" s="170" t="s">
        <v>1076</v>
      </c>
    </row>
    <row r="632" spans="6:11" ht="17.5" x14ac:dyDescent="0.35">
      <c r="F632" s="170">
        <v>630</v>
      </c>
      <c r="G632" s="170" t="s">
        <v>339</v>
      </c>
      <c r="H632" s="170" t="s">
        <v>345</v>
      </c>
      <c r="I632" s="177" t="s">
        <v>465</v>
      </c>
      <c r="J632" s="170" t="str">
        <f t="shared" si="10"/>
        <v>Sixthreezero</v>
      </c>
      <c r="K632" s="170" t="s">
        <v>1077</v>
      </c>
    </row>
    <row r="633" spans="6:11" ht="17.5" x14ac:dyDescent="0.35">
      <c r="F633" s="170">
        <v>631</v>
      </c>
      <c r="G633" s="170" t="s">
        <v>339</v>
      </c>
      <c r="H633" s="170" t="s">
        <v>345</v>
      </c>
      <c r="I633" s="172" t="s">
        <v>343</v>
      </c>
      <c r="J633" s="170" t="str">
        <f t="shared" si="10"/>
        <v>Sixthreeone</v>
      </c>
      <c r="K633" s="170" t="s">
        <v>1078</v>
      </c>
    </row>
    <row r="634" spans="6:11" ht="17.5" x14ac:dyDescent="0.35">
      <c r="F634" s="170">
        <v>632</v>
      </c>
      <c r="G634" s="170" t="s">
        <v>339</v>
      </c>
      <c r="H634" s="170" t="s">
        <v>345</v>
      </c>
      <c r="I634" s="172" t="s">
        <v>344</v>
      </c>
      <c r="J634" s="170" t="str">
        <f t="shared" si="10"/>
        <v>Sixthreetwo</v>
      </c>
      <c r="K634" s="170" t="s">
        <v>1079</v>
      </c>
    </row>
    <row r="635" spans="6:11" ht="17.5" x14ac:dyDescent="0.35">
      <c r="F635" s="170">
        <v>633</v>
      </c>
      <c r="G635" s="170" t="s">
        <v>339</v>
      </c>
      <c r="H635" s="170" t="s">
        <v>345</v>
      </c>
      <c r="I635" s="172" t="s">
        <v>345</v>
      </c>
      <c r="J635" s="170" t="str">
        <f t="shared" si="10"/>
        <v>Sixthreethree</v>
      </c>
      <c r="K635" s="170" t="s">
        <v>1080</v>
      </c>
    </row>
    <row r="636" spans="6:11" ht="17.5" x14ac:dyDescent="0.35">
      <c r="F636" s="170">
        <v>634</v>
      </c>
      <c r="G636" s="170" t="s">
        <v>339</v>
      </c>
      <c r="H636" s="170" t="s">
        <v>345</v>
      </c>
      <c r="I636" s="173" t="s">
        <v>346</v>
      </c>
      <c r="J636" s="170" t="str">
        <f t="shared" si="10"/>
        <v>Sixthreefour</v>
      </c>
      <c r="K636" s="170" t="s">
        <v>1081</v>
      </c>
    </row>
    <row r="637" spans="6:11" ht="17.5" x14ac:dyDescent="0.35">
      <c r="F637" s="170">
        <v>635</v>
      </c>
      <c r="G637" s="170" t="s">
        <v>339</v>
      </c>
      <c r="H637" s="170" t="s">
        <v>345</v>
      </c>
      <c r="I637" s="173" t="s">
        <v>347</v>
      </c>
      <c r="J637" s="170" t="str">
        <f t="shared" si="10"/>
        <v>Sixthreefive</v>
      </c>
      <c r="K637" s="170" t="s">
        <v>1082</v>
      </c>
    </row>
    <row r="638" spans="6:11" ht="17.5" x14ac:dyDescent="0.35">
      <c r="F638" s="170">
        <v>636</v>
      </c>
      <c r="G638" s="170" t="s">
        <v>339</v>
      </c>
      <c r="H638" s="170" t="s">
        <v>345</v>
      </c>
      <c r="I638" s="173" t="s">
        <v>348</v>
      </c>
      <c r="J638" s="170" t="str">
        <f t="shared" si="10"/>
        <v>Sixthreesix</v>
      </c>
      <c r="K638" s="170" t="s">
        <v>1083</v>
      </c>
    </row>
    <row r="639" spans="6:11" ht="17.5" x14ac:dyDescent="0.35">
      <c r="F639" s="170">
        <v>637</v>
      </c>
      <c r="G639" s="170" t="s">
        <v>339</v>
      </c>
      <c r="H639" s="170" t="s">
        <v>345</v>
      </c>
      <c r="I639" s="173" t="s">
        <v>349</v>
      </c>
      <c r="J639" s="170" t="str">
        <f t="shared" si="10"/>
        <v>Sixthreeseven</v>
      </c>
      <c r="K639" s="170" t="s">
        <v>1084</v>
      </c>
    </row>
    <row r="640" spans="6:11" ht="17.5" x14ac:dyDescent="0.35">
      <c r="F640" s="170">
        <v>638</v>
      </c>
      <c r="G640" s="170" t="s">
        <v>339</v>
      </c>
      <c r="H640" s="170" t="s">
        <v>345</v>
      </c>
      <c r="I640" s="173" t="s">
        <v>350</v>
      </c>
      <c r="J640" s="170" t="str">
        <f t="shared" si="10"/>
        <v>Sixthreeeight</v>
      </c>
      <c r="K640" s="170" t="s">
        <v>1085</v>
      </c>
    </row>
    <row r="641" spans="6:11" ht="17.5" x14ac:dyDescent="0.35">
      <c r="F641" s="170">
        <v>639</v>
      </c>
      <c r="G641" s="170" t="s">
        <v>339</v>
      </c>
      <c r="H641" s="170" t="s">
        <v>345</v>
      </c>
      <c r="I641" s="173" t="s">
        <v>351</v>
      </c>
      <c r="J641" s="170" t="str">
        <f t="shared" si="10"/>
        <v>Sixthreenine</v>
      </c>
      <c r="K641" s="170" t="s">
        <v>1086</v>
      </c>
    </row>
    <row r="642" spans="6:11" ht="17.5" x14ac:dyDescent="0.35">
      <c r="F642" s="170">
        <v>640</v>
      </c>
      <c r="G642" s="170" t="s">
        <v>339</v>
      </c>
      <c r="H642" s="170" t="s">
        <v>346</v>
      </c>
      <c r="I642" s="177" t="s">
        <v>465</v>
      </c>
      <c r="J642" s="170" t="str">
        <f t="shared" si="10"/>
        <v>Sixfourzero</v>
      </c>
      <c r="K642" s="170" t="s">
        <v>1087</v>
      </c>
    </row>
    <row r="643" spans="6:11" ht="17.5" x14ac:dyDescent="0.35">
      <c r="F643" s="170">
        <v>641</v>
      </c>
      <c r="G643" s="170" t="s">
        <v>339</v>
      </c>
      <c r="H643" s="170" t="s">
        <v>346</v>
      </c>
      <c r="I643" s="172" t="s">
        <v>343</v>
      </c>
      <c r="J643" s="170" t="str">
        <f t="shared" si="10"/>
        <v>Sixfourone</v>
      </c>
      <c r="K643" s="170" t="s">
        <v>1088</v>
      </c>
    </row>
    <row r="644" spans="6:11" ht="17.5" x14ac:dyDescent="0.35">
      <c r="F644" s="170">
        <v>642</v>
      </c>
      <c r="G644" s="170" t="s">
        <v>339</v>
      </c>
      <c r="H644" s="170" t="s">
        <v>346</v>
      </c>
      <c r="I644" s="172" t="s">
        <v>344</v>
      </c>
      <c r="J644" s="170" t="str">
        <f t="shared" si="10"/>
        <v>Sixfourtwo</v>
      </c>
      <c r="K644" s="170" t="s">
        <v>1089</v>
      </c>
    </row>
    <row r="645" spans="6:11" ht="17.5" x14ac:dyDescent="0.35">
      <c r="F645" s="170">
        <v>643</v>
      </c>
      <c r="G645" s="170" t="s">
        <v>339</v>
      </c>
      <c r="H645" s="170" t="s">
        <v>346</v>
      </c>
      <c r="I645" s="172" t="s">
        <v>345</v>
      </c>
      <c r="J645" s="170" t="str">
        <f t="shared" si="10"/>
        <v>Sixfourthree</v>
      </c>
      <c r="K645" s="170" t="s">
        <v>1090</v>
      </c>
    </row>
    <row r="646" spans="6:11" ht="17.5" x14ac:dyDescent="0.35">
      <c r="F646" s="170">
        <v>644</v>
      </c>
      <c r="G646" s="170" t="s">
        <v>339</v>
      </c>
      <c r="H646" s="170" t="s">
        <v>346</v>
      </c>
      <c r="I646" s="173" t="s">
        <v>346</v>
      </c>
      <c r="J646" s="170" t="str">
        <f t="shared" si="10"/>
        <v>Sixfourfour</v>
      </c>
      <c r="K646" s="170" t="s">
        <v>1091</v>
      </c>
    </row>
    <row r="647" spans="6:11" ht="17.5" x14ac:dyDescent="0.35">
      <c r="F647" s="170">
        <v>645</v>
      </c>
      <c r="G647" s="170" t="s">
        <v>339</v>
      </c>
      <c r="H647" s="170" t="s">
        <v>346</v>
      </c>
      <c r="I647" s="173" t="s">
        <v>347</v>
      </c>
      <c r="J647" s="170" t="str">
        <f t="shared" si="10"/>
        <v>Sixfourfive</v>
      </c>
      <c r="K647" s="170" t="s">
        <v>1092</v>
      </c>
    </row>
    <row r="648" spans="6:11" ht="17.5" x14ac:dyDescent="0.35">
      <c r="F648" s="170">
        <v>646</v>
      </c>
      <c r="G648" s="170" t="s">
        <v>339</v>
      </c>
      <c r="H648" s="170" t="s">
        <v>346</v>
      </c>
      <c r="I648" s="173" t="s">
        <v>348</v>
      </c>
      <c r="J648" s="170" t="str">
        <f t="shared" si="10"/>
        <v>Sixfoursix</v>
      </c>
      <c r="K648" s="170" t="s">
        <v>1093</v>
      </c>
    </row>
    <row r="649" spans="6:11" ht="17.5" x14ac:dyDescent="0.35">
      <c r="F649" s="170">
        <v>647</v>
      </c>
      <c r="G649" s="170" t="s">
        <v>339</v>
      </c>
      <c r="H649" s="170" t="s">
        <v>346</v>
      </c>
      <c r="I649" s="173" t="s">
        <v>349</v>
      </c>
      <c r="J649" s="170" t="str">
        <f t="shared" si="10"/>
        <v>Sixfourseven</v>
      </c>
      <c r="K649" s="170" t="s">
        <v>1094</v>
      </c>
    </row>
    <row r="650" spans="6:11" ht="17.5" x14ac:dyDescent="0.35">
      <c r="F650" s="170">
        <v>648</v>
      </c>
      <c r="G650" s="170" t="s">
        <v>339</v>
      </c>
      <c r="H650" s="170" t="s">
        <v>346</v>
      </c>
      <c r="I650" s="173" t="s">
        <v>350</v>
      </c>
      <c r="J650" s="170" t="str">
        <f t="shared" si="10"/>
        <v>Sixfoureight</v>
      </c>
      <c r="K650" s="170" t="s">
        <v>1095</v>
      </c>
    </row>
    <row r="651" spans="6:11" ht="17.5" x14ac:dyDescent="0.35">
      <c r="F651" s="170">
        <v>649</v>
      </c>
      <c r="G651" s="170" t="s">
        <v>339</v>
      </c>
      <c r="H651" s="170" t="s">
        <v>346</v>
      </c>
      <c r="I651" s="173" t="s">
        <v>351</v>
      </c>
      <c r="J651" s="170" t="str">
        <f t="shared" si="10"/>
        <v>Sixfournine</v>
      </c>
      <c r="K651" s="170" t="s">
        <v>1096</v>
      </c>
    </row>
    <row r="652" spans="6:11" x14ac:dyDescent="0.35">
      <c r="F652" s="170">
        <v>650</v>
      </c>
      <c r="G652" s="170" t="s">
        <v>339</v>
      </c>
      <c r="H652" s="170" t="s">
        <v>347</v>
      </c>
      <c r="I652" s="170" t="s">
        <v>465</v>
      </c>
      <c r="J652" s="170" t="str">
        <f t="shared" si="10"/>
        <v>Sixfivezero</v>
      </c>
      <c r="K652" s="170" t="s">
        <v>1097</v>
      </c>
    </row>
    <row r="653" spans="6:11" ht="17.5" x14ac:dyDescent="0.35">
      <c r="F653" s="170">
        <v>651</v>
      </c>
      <c r="G653" s="170" t="s">
        <v>339</v>
      </c>
      <c r="H653" s="170" t="s">
        <v>347</v>
      </c>
      <c r="I653" s="172" t="s">
        <v>343</v>
      </c>
      <c r="J653" s="170" t="str">
        <f t="shared" si="10"/>
        <v>Sixfiveone</v>
      </c>
      <c r="K653" s="170" t="s">
        <v>1098</v>
      </c>
    </row>
    <row r="654" spans="6:11" ht="17.5" x14ac:dyDescent="0.35">
      <c r="F654" s="170">
        <v>652</v>
      </c>
      <c r="G654" s="170" t="s">
        <v>339</v>
      </c>
      <c r="H654" s="170" t="s">
        <v>347</v>
      </c>
      <c r="I654" s="172" t="s">
        <v>344</v>
      </c>
      <c r="J654" s="170" t="str">
        <f t="shared" si="10"/>
        <v>Sixfivetwo</v>
      </c>
      <c r="K654" s="170" t="s">
        <v>1099</v>
      </c>
    </row>
    <row r="655" spans="6:11" ht="17.5" x14ac:dyDescent="0.35">
      <c r="F655" s="170">
        <v>653</v>
      </c>
      <c r="G655" s="170" t="s">
        <v>339</v>
      </c>
      <c r="H655" s="170" t="s">
        <v>347</v>
      </c>
      <c r="I655" s="172" t="s">
        <v>345</v>
      </c>
      <c r="J655" s="170" t="str">
        <f t="shared" si="10"/>
        <v>Sixfivethree</v>
      </c>
      <c r="K655" s="170" t="s">
        <v>1100</v>
      </c>
    </row>
    <row r="656" spans="6:11" ht="17.5" x14ac:dyDescent="0.35">
      <c r="F656" s="170">
        <v>654</v>
      </c>
      <c r="G656" s="170" t="s">
        <v>339</v>
      </c>
      <c r="H656" s="170" t="s">
        <v>347</v>
      </c>
      <c r="I656" s="173" t="s">
        <v>346</v>
      </c>
      <c r="J656" s="170" t="str">
        <f t="shared" si="10"/>
        <v>Sixfivefour</v>
      </c>
      <c r="K656" s="170" t="s">
        <v>1101</v>
      </c>
    </row>
    <row r="657" spans="6:11" ht="17.5" x14ac:dyDescent="0.35">
      <c r="F657" s="170">
        <v>655</v>
      </c>
      <c r="G657" s="170" t="s">
        <v>339</v>
      </c>
      <c r="H657" s="170" t="s">
        <v>347</v>
      </c>
      <c r="I657" s="173" t="s">
        <v>347</v>
      </c>
      <c r="J657" s="170" t="str">
        <f t="shared" si="10"/>
        <v>Sixfivefive</v>
      </c>
      <c r="K657" s="170" t="s">
        <v>1102</v>
      </c>
    </row>
    <row r="658" spans="6:11" ht="17.5" x14ac:dyDescent="0.35">
      <c r="F658" s="170">
        <v>656</v>
      </c>
      <c r="G658" s="170" t="s">
        <v>339</v>
      </c>
      <c r="H658" s="170" t="s">
        <v>347</v>
      </c>
      <c r="I658" s="173" t="s">
        <v>348</v>
      </c>
      <c r="J658" s="170" t="str">
        <f t="shared" si="10"/>
        <v>Sixfivesix</v>
      </c>
      <c r="K658" s="170" t="s">
        <v>1103</v>
      </c>
    </row>
    <row r="659" spans="6:11" ht="17.5" x14ac:dyDescent="0.35">
      <c r="F659" s="170">
        <v>657</v>
      </c>
      <c r="G659" s="170" t="s">
        <v>339</v>
      </c>
      <c r="H659" s="170" t="s">
        <v>347</v>
      </c>
      <c r="I659" s="173" t="s">
        <v>349</v>
      </c>
      <c r="J659" s="170" t="str">
        <f t="shared" si="10"/>
        <v>Sixfiveseven</v>
      </c>
      <c r="K659" s="170" t="s">
        <v>1104</v>
      </c>
    </row>
    <row r="660" spans="6:11" ht="17.5" x14ac:dyDescent="0.35">
      <c r="F660" s="170">
        <v>658</v>
      </c>
      <c r="G660" s="170" t="s">
        <v>339</v>
      </c>
      <c r="H660" s="170" t="s">
        <v>347</v>
      </c>
      <c r="I660" s="173" t="s">
        <v>350</v>
      </c>
      <c r="J660" s="170" t="str">
        <f t="shared" si="10"/>
        <v>Sixfiveeight</v>
      </c>
      <c r="K660" s="170" t="s">
        <v>1105</v>
      </c>
    </row>
    <row r="661" spans="6:11" ht="17.5" x14ac:dyDescent="0.35">
      <c r="F661" s="170">
        <v>659</v>
      </c>
      <c r="G661" s="170" t="s">
        <v>339</v>
      </c>
      <c r="H661" s="170" t="s">
        <v>347</v>
      </c>
      <c r="I661" s="173" t="s">
        <v>351</v>
      </c>
      <c r="J661" s="170" t="str">
        <f t="shared" si="10"/>
        <v>Sixfivenine</v>
      </c>
      <c r="K661" s="170" t="s">
        <v>1106</v>
      </c>
    </row>
    <row r="662" spans="6:11" x14ac:dyDescent="0.35">
      <c r="F662" s="170">
        <v>660</v>
      </c>
      <c r="G662" s="170" t="s">
        <v>339</v>
      </c>
      <c r="H662" s="170" t="s">
        <v>348</v>
      </c>
      <c r="I662" s="170" t="s">
        <v>465</v>
      </c>
      <c r="J662" s="170" t="str">
        <f t="shared" si="10"/>
        <v>Sixsixzero</v>
      </c>
      <c r="K662" s="170" t="s">
        <v>1107</v>
      </c>
    </row>
    <row r="663" spans="6:11" ht="17.5" x14ac:dyDescent="0.35">
      <c r="F663" s="170">
        <v>661</v>
      </c>
      <c r="G663" s="170" t="s">
        <v>339</v>
      </c>
      <c r="H663" s="170" t="s">
        <v>348</v>
      </c>
      <c r="I663" s="172" t="s">
        <v>343</v>
      </c>
      <c r="J663" s="170" t="str">
        <f t="shared" si="10"/>
        <v>Sixsixone</v>
      </c>
      <c r="K663" s="170" t="s">
        <v>1108</v>
      </c>
    </row>
    <row r="664" spans="6:11" ht="17.5" x14ac:dyDescent="0.35">
      <c r="F664" s="170">
        <v>662</v>
      </c>
      <c r="G664" s="170" t="s">
        <v>339</v>
      </c>
      <c r="H664" s="170" t="s">
        <v>348</v>
      </c>
      <c r="I664" s="172" t="s">
        <v>344</v>
      </c>
      <c r="J664" s="170" t="str">
        <f t="shared" si="10"/>
        <v>Sixsixtwo</v>
      </c>
      <c r="K664" s="170" t="s">
        <v>1109</v>
      </c>
    </row>
    <row r="665" spans="6:11" ht="17.5" x14ac:dyDescent="0.35">
      <c r="F665" s="170">
        <v>663</v>
      </c>
      <c r="G665" s="170" t="s">
        <v>339</v>
      </c>
      <c r="H665" s="170" t="s">
        <v>348</v>
      </c>
      <c r="I665" s="172" t="s">
        <v>345</v>
      </c>
      <c r="J665" s="170" t="str">
        <f t="shared" si="10"/>
        <v>Sixsixthree</v>
      </c>
      <c r="K665" s="170" t="s">
        <v>1110</v>
      </c>
    </row>
    <row r="666" spans="6:11" ht="17.5" x14ac:dyDescent="0.35">
      <c r="F666" s="170">
        <v>664</v>
      </c>
      <c r="G666" s="170" t="s">
        <v>339</v>
      </c>
      <c r="H666" s="170" t="s">
        <v>348</v>
      </c>
      <c r="I666" s="173" t="s">
        <v>346</v>
      </c>
      <c r="J666" s="170" t="str">
        <f t="shared" si="10"/>
        <v>Sixsixfour</v>
      </c>
      <c r="K666" s="170" t="s">
        <v>1111</v>
      </c>
    </row>
    <row r="667" spans="6:11" ht="17.5" x14ac:dyDescent="0.35">
      <c r="F667" s="170">
        <v>665</v>
      </c>
      <c r="G667" s="170" t="s">
        <v>339</v>
      </c>
      <c r="H667" s="170" t="s">
        <v>348</v>
      </c>
      <c r="I667" s="173" t="s">
        <v>347</v>
      </c>
      <c r="J667" s="170" t="str">
        <f t="shared" si="10"/>
        <v>Sixsixfive</v>
      </c>
      <c r="K667" s="170" t="s">
        <v>1112</v>
      </c>
    </row>
    <row r="668" spans="6:11" ht="17.5" x14ac:dyDescent="0.35">
      <c r="F668" s="170">
        <v>666</v>
      </c>
      <c r="G668" s="170" t="s">
        <v>339</v>
      </c>
      <c r="H668" s="170" t="s">
        <v>348</v>
      </c>
      <c r="I668" s="173" t="s">
        <v>348</v>
      </c>
      <c r="J668" s="170" t="str">
        <f t="shared" si="10"/>
        <v>Sixsixsix</v>
      </c>
      <c r="K668" s="170" t="s">
        <v>1113</v>
      </c>
    </row>
    <row r="669" spans="6:11" ht="17.5" x14ac:dyDescent="0.35">
      <c r="F669" s="170">
        <v>667</v>
      </c>
      <c r="G669" s="170" t="s">
        <v>339</v>
      </c>
      <c r="H669" s="170" t="s">
        <v>348</v>
      </c>
      <c r="I669" s="173" t="s">
        <v>349</v>
      </c>
      <c r="J669" s="170" t="str">
        <f t="shared" si="10"/>
        <v>Sixsixseven</v>
      </c>
      <c r="K669" s="170" t="s">
        <v>1114</v>
      </c>
    </row>
    <row r="670" spans="6:11" ht="17.5" x14ac:dyDescent="0.35">
      <c r="F670" s="170">
        <v>668</v>
      </c>
      <c r="G670" s="170" t="s">
        <v>339</v>
      </c>
      <c r="H670" s="170" t="s">
        <v>348</v>
      </c>
      <c r="I670" s="173" t="s">
        <v>350</v>
      </c>
      <c r="J670" s="170" t="str">
        <f t="shared" si="10"/>
        <v>Sixsixeight</v>
      </c>
      <c r="K670" s="170" t="s">
        <v>1115</v>
      </c>
    </row>
    <row r="671" spans="6:11" ht="17.5" x14ac:dyDescent="0.35">
      <c r="F671" s="170">
        <v>669</v>
      </c>
      <c r="G671" s="170" t="s">
        <v>339</v>
      </c>
      <c r="H671" s="170" t="s">
        <v>348</v>
      </c>
      <c r="I671" s="173" t="s">
        <v>351</v>
      </c>
      <c r="J671" s="170" t="str">
        <f t="shared" si="10"/>
        <v>Sixsixnine</v>
      </c>
      <c r="K671" s="170" t="s">
        <v>1116</v>
      </c>
    </row>
    <row r="672" spans="6:11" ht="17.5" x14ac:dyDescent="0.35">
      <c r="F672" s="170">
        <v>670</v>
      </c>
      <c r="G672" s="170" t="s">
        <v>339</v>
      </c>
      <c r="H672" s="170" t="s">
        <v>349</v>
      </c>
      <c r="I672" s="177" t="s">
        <v>465</v>
      </c>
      <c r="J672" s="170" t="str">
        <f t="shared" si="10"/>
        <v>Sixsevenzero</v>
      </c>
      <c r="K672" s="170" t="s">
        <v>1117</v>
      </c>
    </row>
    <row r="673" spans="6:11" ht="17.5" x14ac:dyDescent="0.35">
      <c r="F673" s="170">
        <v>671</v>
      </c>
      <c r="G673" s="170" t="s">
        <v>339</v>
      </c>
      <c r="H673" s="170" t="s">
        <v>349</v>
      </c>
      <c r="I673" s="172" t="s">
        <v>343</v>
      </c>
      <c r="J673" s="170" t="str">
        <f t="shared" si="10"/>
        <v>Sixsevenone</v>
      </c>
      <c r="K673" s="170" t="s">
        <v>1118</v>
      </c>
    </row>
    <row r="674" spans="6:11" ht="17.5" x14ac:dyDescent="0.35">
      <c r="F674" s="170">
        <v>672</v>
      </c>
      <c r="G674" s="170" t="s">
        <v>339</v>
      </c>
      <c r="H674" s="170" t="s">
        <v>349</v>
      </c>
      <c r="I674" s="172" t="s">
        <v>344</v>
      </c>
      <c r="J674" s="170" t="str">
        <f t="shared" si="10"/>
        <v>Sixseventwo</v>
      </c>
      <c r="K674" s="170" t="s">
        <v>1119</v>
      </c>
    </row>
    <row r="675" spans="6:11" ht="17.5" x14ac:dyDescent="0.35">
      <c r="F675" s="170">
        <v>673</v>
      </c>
      <c r="G675" s="170" t="s">
        <v>339</v>
      </c>
      <c r="H675" s="170" t="s">
        <v>349</v>
      </c>
      <c r="I675" s="172" t="s">
        <v>345</v>
      </c>
      <c r="J675" s="170" t="str">
        <f t="shared" si="10"/>
        <v>Sixseventhree</v>
      </c>
      <c r="K675" s="170" t="s">
        <v>1120</v>
      </c>
    </row>
    <row r="676" spans="6:11" ht="17.5" x14ac:dyDescent="0.35">
      <c r="F676" s="170">
        <v>674</v>
      </c>
      <c r="G676" s="170" t="s">
        <v>339</v>
      </c>
      <c r="H676" s="170" t="s">
        <v>349</v>
      </c>
      <c r="I676" s="173" t="s">
        <v>346</v>
      </c>
      <c r="J676" s="170" t="str">
        <f t="shared" si="10"/>
        <v>Sixsevenfour</v>
      </c>
      <c r="K676" s="170" t="s">
        <v>1121</v>
      </c>
    </row>
    <row r="677" spans="6:11" ht="17.5" x14ac:dyDescent="0.35">
      <c r="F677" s="170">
        <v>675</v>
      </c>
      <c r="G677" s="170" t="s">
        <v>339</v>
      </c>
      <c r="H677" s="170" t="s">
        <v>349</v>
      </c>
      <c r="I677" s="173" t="s">
        <v>347</v>
      </c>
      <c r="J677" s="170" t="str">
        <f t="shared" si="10"/>
        <v>Sixsevenfive</v>
      </c>
      <c r="K677" s="170" t="s">
        <v>1122</v>
      </c>
    </row>
    <row r="678" spans="6:11" ht="17.5" x14ac:dyDescent="0.35">
      <c r="F678" s="170">
        <v>676</v>
      </c>
      <c r="G678" s="170" t="s">
        <v>339</v>
      </c>
      <c r="H678" s="170" t="s">
        <v>349</v>
      </c>
      <c r="I678" s="173" t="s">
        <v>348</v>
      </c>
      <c r="J678" s="170" t="str">
        <f t="shared" ref="J678:J741" si="11">G678&amp;H678&amp;I678</f>
        <v>Sixsevensix</v>
      </c>
      <c r="K678" s="170" t="s">
        <v>1123</v>
      </c>
    </row>
    <row r="679" spans="6:11" ht="17.5" x14ac:dyDescent="0.35">
      <c r="F679" s="170">
        <v>677</v>
      </c>
      <c r="G679" s="170" t="s">
        <v>339</v>
      </c>
      <c r="H679" s="170" t="s">
        <v>349</v>
      </c>
      <c r="I679" s="173" t="s">
        <v>349</v>
      </c>
      <c r="J679" s="170" t="str">
        <f t="shared" si="11"/>
        <v>Sixsevenseven</v>
      </c>
      <c r="K679" s="170" t="s">
        <v>1124</v>
      </c>
    </row>
    <row r="680" spans="6:11" ht="17.5" x14ac:dyDescent="0.35">
      <c r="F680" s="170">
        <v>678</v>
      </c>
      <c r="G680" s="170" t="s">
        <v>339</v>
      </c>
      <c r="H680" s="170" t="s">
        <v>349</v>
      </c>
      <c r="I680" s="173" t="s">
        <v>350</v>
      </c>
      <c r="J680" s="170" t="str">
        <f t="shared" si="11"/>
        <v>Sixseveneight</v>
      </c>
      <c r="K680" s="170" t="s">
        <v>1125</v>
      </c>
    </row>
    <row r="681" spans="6:11" ht="17.5" x14ac:dyDescent="0.35">
      <c r="F681" s="170">
        <v>679</v>
      </c>
      <c r="G681" s="170" t="s">
        <v>339</v>
      </c>
      <c r="H681" s="170" t="s">
        <v>349</v>
      </c>
      <c r="I681" s="173" t="s">
        <v>351</v>
      </c>
      <c r="J681" s="170" t="str">
        <f t="shared" si="11"/>
        <v>Sixsevennine</v>
      </c>
      <c r="K681" s="170" t="s">
        <v>1126</v>
      </c>
    </row>
    <row r="682" spans="6:11" ht="17.5" x14ac:dyDescent="0.35">
      <c r="F682" s="170">
        <v>680</v>
      </c>
      <c r="G682" s="170" t="s">
        <v>339</v>
      </c>
      <c r="H682" s="170" t="s">
        <v>350</v>
      </c>
      <c r="I682" s="177" t="s">
        <v>465</v>
      </c>
      <c r="J682" s="170" t="str">
        <f t="shared" si="11"/>
        <v>Sixeightzero</v>
      </c>
      <c r="K682" s="170" t="s">
        <v>1127</v>
      </c>
    </row>
    <row r="683" spans="6:11" ht="17.5" x14ac:dyDescent="0.35">
      <c r="F683" s="170">
        <v>681</v>
      </c>
      <c r="G683" s="170" t="s">
        <v>339</v>
      </c>
      <c r="H683" s="170" t="s">
        <v>350</v>
      </c>
      <c r="I683" s="172" t="s">
        <v>343</v>
      </c>
      <c r="J683" s="170" t="str">
        <f t="shared" si="11"/>
        <v>Sixeightone</v>
      </c>
      <c r="K683" s="170" t="s">
        <v>1128</v>
      </c>
    </row>
    <row r="684" spans="6:11" ht="17.5" x14ac:dyDescent="0.35">
      <c r="F684" s="170">
        <v>682</v>
      </c>
      <c r="G684" s="170" t="s">
        <v>339</v>
      </c>
      <c r="H684" s="170" t="s">
        <v>350</v>
      </c>
      <c r="I684" s="172" t="s">
        <v>344</v>
      </c>
      <c r="J684" s="170" t="str">
        <f t="shared" si="11"/>
        <v>Sixeighttwo</v>
      </c>
      <c r="K684" s="170" t="s">
        <v>1129</v>
      </c>
    </row>
    <row r="685" spans="6:11" ht="17.5" x14ac:dyDescent="0.35">
      <c r="F685" s="170">
        <v>683</v>
      </c>
      <c r="G685" s="170" t="s">
        <v>339</v>
      </c>
      <c r="H685" s="170" t="s">
        <v>350</v>
      </c>
      <c r="I685" s="172" t="s">
        <v>345</v>
      </c>
      <c r="J685" s="170" t="str">
        <f t="shared" si="11"/>
        <v>Sixeightthree</v>
      </c>
      <c r="K685" s="170" t="s">
        <v>1130</v>
      </c>
    </row>
    <row r="686" spans="6:11" ht="17.5" x14ac:dyDescent="0.35">
      <c r="F686" s="170">
        <v>684</v>
      </c>
      <c r="G686" s="170" t="s">
        <v>339</v>
      </c>
      <c r="H686" s="170" t="s">
        <v>350</v>
      </c>
      <c r="I686" s="173" t="s">
        <v>346</v>
      </c>
      <c r="J686" s="170" t="str">
        <f t="shared" si="11"/>
        <v>Sixeightfour</v>
      </c>
      <c r="K686" s="170" t="s">
        <v>1131</v>
      </c>
    </row>
    <row r="687" spans="6:11" ht="17.5" x14ac:dyDescent="0.35">
      <c r="F687" s="170">
        <v>685</v>
      </c>
      <c r="G687" s="170" t="s">
        <v>339</v>
      </c>
      <c r="H687" s="170" t="s">
        <v>350</v>
      </c>
      <c r="I687" s="173" t="s">
        <v>347</v>
      </c>
      <c r="J687" s="170" t="str">
        <f t="shared" si="11"/>
        <v>Sixeightfive</v>
      </c>
      <c r="K687" s="170" t="s">
        <v>1132</v>
      </c>
    </row>
    <row r="688" spans="6:11" ht="17.5" x14ac:dyDescent="0.35">
      <c r="F688" s="170">
        <v>686</v>
      </c>
      <c r="G688" s="170" t="s">
        <v>339</v>
      </c>
      <c r="H688" s="170" t="s">
        <v>350</v>
      </c>
      <c r="I688" s="173" t="s">
        <v>348</v>
      </c>
      <c r="J688" s="170" t="str">
        <f t="shared" si="11"/>
        <v>Sixeightsix</v>
      </c>
      <c r="K688" s="170" t="s">
        <v>1133</v>
      </c>
    </row>
    <row r="689" spans="6:11" ht="17.5" x14ac:dyDescent="0.35">
      <c r="F689" s="170">
        <v>687</v>
      </c>
      <c r="G689" s="170" t="s">
        <v>339</v>
      </c>
      <c r="H689" s="170" t="s">
        <v>350</v>
      </c>
      <c r="I689" s="173" t="s">
        <v>349</v>
      </c>
      <c r="J689" s="170" t="str">
        <f t="shared" si="11"/>
        <v>Sixeightseven</v>
      </c>
      <c r="K689" s="170" t="s">
        <v>1134</v>
      </c>
    </row>
    <row r="690" spans="6:11" ht="17.5" x14ac:dyDescent="0.35">
      <c r="F690" s="170">
        <v>688</v>
      </c>
      <c r="G690" s="170" t="s">
        <v>339</v>
      </c>
      <c r="H690" s="170" t="s">
        <v>350</v>
      </c>
      <c r="I690" s="173" t="s">
        <v>350</v>
      </c>
      <c r="J690" s="170" t="str">
        <f t="shared" si="11"/>
        <v>Sixeighteight</v>
      </c>
      <c r="K690" s="170" t="s">
        <v>1135</v>
      </c>
    </row>
    <row r="691" spans="6:11" ht="17.5" x14ac:dyDescent="0.35">
      <c r="F691" s="170">
        <v>689</v>
      </c>
      <c r="G691" s="170" t="s">
        <v>339</v>
      </c>
      <c r="H691" s="170" t="s">
        <v>350</v>
      </c>
      <c r="I691" s="173" t="s">
        <v>351</v>
      </c>
      <c r="J691" s="170" t="str">
        <f t="shared" si="11"/>
        <v>Sixeightnine</v>
      </c>
      <c r="K691" s="170" t="s">
        <v>1136</v>
      </c>
    </row>
    <row r="692" spans="6:11" x14ac:dyDescent="0.35">
      <c r="F692" s="170">
        <v>690</v>
      </c>
      <c r="G692" s="170" t="s">
        <v>339</v>
      </c>
      <c r="H692" s="170" t="s">
        <v>351</v>
      </c>
      <c r="I692" s="170" t="s">
        <v>465</v>
      </c>
      <c r="J692" s="170" t="str">
        <f t="shared" si="11"/>
        <v>Sixninezero</v>
      </c>
      <c r="K692" s="170" t="s">
        <v>1137</v>
      </c>
    </row>
    <row r="693" spans="6:11" ht="17.5" x14ac:dyDescent="0.35">
      <c r="F693" s="170">
        <v>691</v>
      </c>
      <c r="G693" s="170" t="s">
        <v>339</v>
      </c>
      <c r="H693" s="170" t="s">
        <v>351</v>
      </c>
      <c r="I693" s="172" t="s">
        <v>343</v>
      </c>
      <c r="J693" s="170" t="str">
        <f t="shared" si="11"/>
        <v>Sixnineone</v>
      </c>
      <c r="K693" s="170" t="s">
        <v>1138</v>
      </c>
    </row>
    <row r="694" spans="6:11" ht="17.5" x14ac:dyDescent="0.35">
      <c r="F694" s="170">
        <v>692</v>
      </c>
      <c r="G694" s="170" t="s">
        <v>339</v>
      </c>
      <c r="H694" s="170" t="s">
        <v>351</v>
      </c>
      <c r="I694" s="172" t="s">
        <v>344</v>
      </c>
      <c r="J694" s="170" t="str">
        <f t="shared" si="11"/>
        <v>Sixninetwo</v>
      </c>
      <c r="K694" s="170" t="s">
        <v>1139</v>
      </c>
    </row>
    <row r="695" spans="6:11" ht="17.5" x14ac:dyDescent="0.35">
      <c r="F695" s="170">
        <v>693</v>
      </c>
      <c r="G695" s="170" t="s">
        <v>339</v>
      </c>
      <c r="H695" s="170" t="s">
        <v>351</v>
      </c>
      <c r="I695" s="172" t="s">
        <v>345</v>
      </c>
      <c r="J695" s="170" t="str">
        <f t="shared" si="11"/>
        <v>Sixninethree</v>
      </c>
      <c r="K695" s="170" t="s">
        <v>1140</v>
      </c>
    </row>
    <row r="696" spans="6:11" ht="17.5" x14ac:dyDescent="0.35">
      <c r="F696" s="170">
        <v>694</v>
      </c>
      <c r="G696" s="170" t="s">
        <v>339</v>
      </c>
      <c r="H696" s="170" t="s">
        <v>351</v>
      </c>
      <c r="I696" s="173" t="s">
        <v>346</v>
      </c>
      <c r="J696" s="170" t="str">
        <f t="shared" si="11"/>
        <v>Sixninefour</v>
      </c>
      <c r="K696" s="170" t="s">
        <v>1141</v>
      </c>
    </row>
    <row r="697" spans="6:11" ht="17.5" x14ac:dyDescent="0.35">
      <c r="F697" s="170">
        <v>695</v>
      </c>
      <c r="G697" s="170" t="s">
        <v>339</v>
      </c>
      <c r="H697" s="170" t="s">
        <v>351</v>
      </c>
      <c r="I697" s="173" t="s">
        <v>347</v>
      </c>
      <c r="J697" s="170" t="str">
        <f t="shared" si="11"/>
        <v>Sixninefive</v>
      </c>
      <c r="K697" s="170" t="s">
        <v>1142</v>
      </c>
    </row>
    <row r="698" spans="6:11" ht="17.5" x14ac:dyDescent="0.35">
      <c r="F698" s="170">
        <v>696</v>
      </c>
      <c r="G698" s="170" t="s">
        <v>339</v>
      </c>
      <c r="H698" s="170" t="s">
        <v>351</v>
      </c>
      <c r="I698" s="173" t="s">
        <v>348</v>
      </c>
      <c r="J698" s="170" t="str">
        <f t="shared" si="11"/>
        <v>Sixninesix</v>
      </c>
      <c r="K698" s="170" t="s">
        <v>1143</v>
      </c>
    </row>
    <row r="699" spans="6:11" ht="17.5" x14ac:dyDescent="0.35">
      <c r="F699" s="170">
        <v>697</v>
      </c>
      <c r="G699" s="170" t="s">
        <v>339</v>
      </c>
      <c r="H699" s="170" t="s">
        <v>351</v>
      </c>
      <c r="I699" s="173" t="s">
        <v>349</v>
      </c>
      <c r="J699" s="170" t="str">
        <f t="shared" si="11"/>
        <v>Sixnineseven</v>
      </c>
      <c r="K699" s="170" t="s">
        <v>1144</v>
      </c>
    </row>
    <row r="700" spans="6:11" ht="17.5" x14ac:dyDescent="0.35">
      <c r="F700" s="170">
        <v>698</v>
      </c>
      <c r="G700" s="170" t="s">
        <v>339</v>
      </c>
      <c r="H700" s="170" t="s">
        <v>351</v>
      </c>
      <c r="I700" s="173" t="s">
        <v>350</v>
      </c>
      <c r="J700" s="170" t="str">
        <f t="shared" si="11"/>
        <v>Sixnineeight</v>
      </c>
      <c r="K700" s="170" t="s">
        <v>1145</v>
      </c>
    </row>
    <row r="701" spans="6:11" ht="17.5" x14ac:dyDescent="0.35">
      <c r="F701" s="170">
        <v>699</v>
      </c>
      <c r="G701" s="170" t="s">
        <v>339</v>
      </c>
      <c r="H701" s="170" t="s">
        <v>351</v>
      </c>
      <c r="I701" s="173" t="s">
        <v>351</v>
      </c>
      <c r="J701" s="170" t="str">
        <f t="shared" si="11"/>
        <v>Sixninenine</v>
      </c>
      <c r="K701" s="170" t="s">
        <v>1146</v>
      </c>
    </row>
    <row r="702" spans="6:11" x14ac:dyDescent="0.35">
      <c r="F702" s="170">
        <v>700</v>
      </c>
      <c r="G702" s="170" t="s">
        <v>340</v>
      </c>
      <c r="H702" s="170" t="s">
        <v>465</v>
      </c>
      <c r="I702" s="170" t="s">
        <v>465</v>
      </c>
      <c r="J702" s="170" t="str">
        <f t="shared" si="11"/>
        <v>Sevenzerozero</v>
      </c>
      <c r="K702" s="170" t="s">
        <v>1147</v>
      </c>
    </row>
    <row r="703" spans="6:11" ht="17.5" x14ac:dyDescent="0.35">
      <c r="F703" s="170">
        <v>701</v>
      </c>
      <c r="G703" s="170" t="s">
        <v>340</v>
      </c>
      <c r="H703" s="170" t="s">
        <v>465</v>
      </c>
      <c r="I703" s="172" t="s">
        <v>343</v>
      </c>
      <c r="J703" s="170" t="str">
        <f t="shared" si="11"/>
        <v>Sevenzeroone</v>
      </c>
      <c r="K703" s="170" t="s">
        <v>1148</v>
      </c>
    </row>
    <row r="704" spans="6:11" ht="17.5" x14ac:dyDescent="0.35">
      <c r="F704" s="170">
        <v>702</v>
      </c>
      <c r="G704" s="170" t="s">
        <v>340</v>
      </c>
      <c r="H704" s="170" t="s">
        <v>465</v>
      </c>
      <c r="I704" s="172" t="s">
        <v>344</v>
      </c>
      <c r="J704" s="170" t="str">
        <f t="shared" si="11"/>
        <v>Sevenzerotwo</v>
      </c>
      <c r="K704" s="170" t="s">
        <v>1149</v>
      </c>
    </row>
    <row r="705" spans="6:11" ht="17.5" x14ac:dyDescent="0.35">
      <c r="F705" s="170">
        <v>703</v>
      </c>
      <c r="G705" s="170" t="s">
        <v>340</v>
      </c>
      <c r="H705" s="170" t="s">
        <v>465</v>
      </c>
      <c r="I705" s="172" t="s">
        <v>345</v>
      </c>
      <c r="J705" s="170" t="str">
        <f t="shared" si="11"/>
        <v>Sevenzerothree</v>
      </c>
      <c r="K705" s="170" t="s">
        <v>1150</v>
      </c>
    </row>
    <row r="706" spans="6:11" ht="17.5" x14ac:dyDescent="0.35">
      <c r="F706" s="170">
        <v>704</v>
      </c>
      <c r="G706" s="170" t="s">
        <v>340</v>
      </c>
      <c r="H706" s="170" t="s">
        <v>465</v>
      </c>
      <c r="I706" s="173" t="s">
        <v>346</v>
      </c>
      <c r="J706" s="170" t="str">
        <f t="shared" si="11"/>
        <v>Sevenzerofour</v>
      </c>
      <c r="K706" s="170" t="s">
        <v>1151</v>
      </c>
    </row>
    <row r="707" spans="6:11" ht="17.5" x14ac:dyDescent="0.35">
      <c r="F707" s="170">
        <v>705</v>
      </c>
      <c r="G707" s="170" t="s">
        <v>340</v>
      </c>
      <c r="H707" s="170" t="s">
        <v>465</v>
      </c>
      <c r="I707" s="173" t="s">
        <v>347</v>
      </c>
      <c r="J707" s="170" t="str">
        <f t="shared" si="11"/>
        <v>Sevenzerofive</v>
      </c>
      <c r="K707" s="170" t="s">
        <v>1152</v>
      </c>
    </row>
    <row r="708" spans="6:11" ht="17.5" x14ac:dyDescent="0.35">
      <c r="F708" s="170">
        <v>706</v>
      </c>
      <c r="G708" s="170" t="s">
        <v>340</v>
      </c>
      <c r="H708" s="170" t="s">
        <v>465</v>
      </c>
      <c r="I708" s="173" t="s">
        <v>348</v>
      </c>
      <c r="J708" s="170" t="str">
        <f t="shared" si="11"/>
        <v>Sevenzerosix</v>
      </c>
      <c r="K708" s="170" t="s">
        <v>1153</v>
      </c>
    </row>
    <row r="709" spans="6:11" ht="17.5" x14ac:dyDescent="0.35">
      <c r="F709" s="170">
        <v>707</v>
      </c>
      <c r="G709" s="170" t="s">
        <v>340</v>
      </c>
      <c r="H709" s="170" t="s">
        <v>465</v>
      </c>
      <c r="I709" s="173" t="s">
        <v>349</v>
      </c>
      <c r="J709" s="170" t="str">
        <f t="shared" si="11"/>
        <v>Sevenzeroseven</v>
      </c>
      <c r="K709" s="170" t="s">
        <v>1154</v>
      </c>
    </row>
    <row r="710" spans="6:11" ht="17.5" x14ac:dyDescent="0.35">
      <c r="F710" s="170">
        <v>708</v>
      </c>
      <c r="G710" s="170" t="s">
        <v>340</v>
      </c>
      <c r="H710" s="170" t="s">
        <v>465</v>
      </c>
      <c r="I710" s="173" t="s">
        <v>350</v>
      </c>
      <c r="J710" s="170" t="str">
        <f t="shared" si="11"/>
        <v>Sevenzeroeight</v>
      </c>
      <c r="K710" s="170" t="s">
        <v>1155</v>
      </c>
    </row>
    <row r="711" spans="6:11" ht="17.5" x14ac:dyDescent="0.35">
      <c r="F711" s="170">
        <v>709</v>
      </c>
      <c r="G711" s="170" t="s">
        <v>340</v>
      </c>
      <c r="H711" s="170" t="s">
        <v>465</v>
      </c>
      <c r="I711" s="173" t="s">
        <v>351</v>
      </c>
      <c r="J711" s="170" t="str">
        <f t="shared" si="11"/>
        <v>Sevenzeronine</v>
      </c>
      <c r="K711" s="170" t="s">
        <v>1156</v>
      </c>
    </row>
    <row r="712" spans="6:11" ht="17.5" x14ac:dyDescent="0.35">
      <c r="F712" s="170">
        <v>710</v>
      </c>
      <c r="G712" s="170" t="s">
        <v>340</v>
      </c>
      <c r="H712" s="172" t="s">
        <v>343</v>
      </c>
      <c r="I712" s="177" t="s">
        <v>465</v>
      </c>
      <c r="J712" s="170" t="str">
        <f t="shared" si="11"/>
        <v>Sevenonezero</v>
      </c>
      <c r="K712" s="170" t="s">
        <v>1157</v>
      </c>
    </row>
    <row r="713" spans="6:11" ht="17.5" x14ac:dyDescent="0.35">
      <c r="F713" s="170">
        <v>711</v>
      </c>
      <c r="G713" s="170" t="s">
        <v>340</v>
      </c>
      <c r="H713" s="172" t="s">
        <v>343</v>
      </c>
      <c r="I713" s="172" t="s">
        <v>343</v>
      </c>
      <c r="J713" s="170" t="str">
        <f t="shared" si="11"/>
        <v>Sevenoneone</v>
      </c>
      <c r="K713" s="170" t="s">
        <v>1158</v>
      </c>
    </row>
    <row r="714" spans="6:11" ht="17.5" x14ac:dyDescent="0.35">
      <c r="F714" s="170">
        <v>712</v>
      </c>
      <c r="G714" s="170" t="s">
        <v>340</v>
      </c>
      <c r="H714" s="172" t="s">
        <v>343</v>
      </c>
      <c r="I714" s="172" t="s">
        <v>344</v>
      </c>
      <c r="J714" s="170" t="str">
        <f t="shared" si="11"/>
        <v>Sevenonetwo</v>
      </c>
      <c r="K714" s="170" t="s">
        <v>1159</v>
      </c>
    </row>
    <row r="715" spans="6:11" ht="17.5" x14ac:dyDescent="0.35">
      <c r="F715" s="170">
        <v>713</v>
      </c>
      <c r="G715" s="170" t="s">
        <v>340</v>
      </c>
      <c r="H715" s="172" t="s">
        <v>343</v>
      </c>
      <c r="I715" s="172" t="s">
        <v>345</v>
      </c>
      <c r="J715" s="170" t="str">
        <f t="shared" si="11"/>
        <v>Sevenonethree</v>
      </c>
      <c r="K715" s="170" t="s">
        <v>1160</v>
      </c>
    </row>
    <row r="716" spans="6:11" ht="17.5" x14ac:dyDescent="0.35">
      <c r="F716" s="170">
        <v>714</v>
      </c>
      <c r="G716" s="170" t="s">
        <v>340</v>
      </c>
      <c r="H716" s="172" t="s">
        <v>343</v>
      </c>
      <c r="I716" s="173" t="s">
        <v>346</v>
      </c>
      <c r="J716" s="170" t="str">
        <f t="shared" si="11"/>
        <v>Sevenonefour</v>
      </c>
      <c r="K716" s="170" t="s">
        <v>1161</v>
      </c>
    </row>
    <row r="717" spans="6:11" ht="17.5" x14ac:dyDescent="0.35">
      <c r="F717" s="170">
        <v>715</v>
      </c>
      <c r="G717" s="170" t="s">
        <v>340</v>
      </c>
      <c r="H717" s="172" t="s">
        <v>343</v>
      </c>
      <c r="I717" s="173" t="s">
        <v>347</v>
      </c>
      <c r="J717" s="170" t="str">
        <f t="shared" si="11"/>
        <v>Sevenonefive</v>
      </c>
      <c r="K717" s="170" t="s">
        <v>1162</v>
      </c>
    </row>
    <row r="718" spans="6:11" ht="17.5" x14ac:dyDescent="0.35">
      <c r="F718" s="170">
        <v>716</v>
      </c>
      <c r="G718" s="170" t="s">
        <v>340</v>
      </c>
      <c r="H718" s="172" t="s">
        <v>343</v>
      </c>
      <c r="I718" s="173" t="s">
        <v>348</v>
      </c>
      <c r="J718" s="170" t="str">
        <f t="shared" si="11"/>
        <v>Sevenonesix</v>
      </c>
      <c r="K718" s="170" t="s">
        <v>1163</v>
      </c>
    </row>
    <row r="719" spans="6:11" ht="17.5" x14ac:dyDescent="0.35">
      <c r="F719" s="170">
        <v>717</v>
      </c>
      <c r="G719" s="170" t="s">
        <v>340</v>
      </c>
      <c r="H719" s="172" t="s">
        <v>343</v>
      </c>
      <c r="I719" s="173" t="s">
        <v>349</v>
      </c>
      <c r="J719" s="170" t="str">
        <f t="shared" si="11"/>
        <v>Sevenoneseven</v>
      </c>
      <c r="K719" s="170" t="s">
        <v>1164</v>
      </c>
    </row>
    <row r="720" spans="6:11" ht="17.5" x14ac:dyDescent="0.35">
      <c r="F720" s="170">
        <v>718</v>
      </c>
      <c r="G720" s="170" t="s">
        <v>340</v>
      </c>
      <c r="H720" s="172" t="s">
        <v>343</v>
      </c>
      <c r="I720" s="173" t="s">
        <v>350</v>
      </c>
      <c r="J720" s="170" t="str">
        <f t="shared" si="11"/>
        <v>Sevenoneeight</v>
      </c>
      <c r="K720" s="170" t="s">
        <v>1165</v>
      </c>
    </row>
    <row r="721" spans="6:11" ht="17.5" x14ac:dyDescent="0.35">
      <c r="F721" s="170">
        <v>719</v>
      </c>
      <c r="G721" s="170" t="s">
        <v>340</v>
      </c>
      <c r="H721" s="172" t="s">
        <v>343</v>
      </c>
      <c r="I721" s="173" t="s">
        <v>351</v>
      </c>
      <c r="J721" s="170" t="str">
        <f t="shared" si="11"/>
        <v>Sevenonenine</v>
      </c>
      <c r="K721" s="170" t="s">
        <v>1166</v>
      </c>
    </row>
    <row r="722" spans="6:11" ht="17.5" x14ac:dyDescent="0.35">
      <c r="F722" s="170">
        <v>720</v>
      </c>
      <c r="G722" s="170" t="s">
        <v>340</v>
      </c>
      <c r="H722" s="170" t="s">
        <v>344</v>
      </c>
      <c r="I722" s="177" t="s">
        <v>465</v>
      </c>
      <c r="J722" s="170" t="str">
        <f t="shared" si="11"/>
        <v>Seventwozero</v>
      </c>
      <c r="K722" s="170" t="s">
        <v>1167</v>
      </c>
    </row>
    <row r="723" spans="6:11" ht="17.5" x14ac:dyDescent="0.35">
      <c r="F723" s="170">
        <v>721</v>
      </c>
      <c r="G723" s="170" t="s">
        <v>340</v>
      </c>
      <c r="H723" s="170" t="s">
        <v>344</v>
      </c>
      <c r="I723" s="172" t="s">
        <v>343</v>
      </c>
      <c r="J723" s="170" t="str">
        <f t="shared" si="11"/>
        <v>Seventwoone</v>
      </c>
      <c r="K723" s="170" t="s">
        <v>1168</v>
      </c>
    </row>
    <row r="724" spans="6:11" ht="17.5" x14ac:dyDescent="0.35">
      <c r="F724" s="170">
        <v>722</v>
      </c>
      <c r="G724" s="170" t="s">
        <v>340</v>
      </c>
      <c r="H724" s="170" t="s">
        <v>344</v>
      </c>
      <c r="I724" s="172" t="s">
        <v>344</v>
      </c>
      <c r="J724" s="170" t="str">
        <f t="shared" si="11"/>
        <v>Seventwotwo</v>
      </c>
      <c r="K724" s="170" t="s">
        <v>1169</v>
      </c>
    </row>
    <row r="725" spans="6:11" ht="17.5" x14ac:dyDescent="0.35">
      <c r="F725" s="170">
        <v>723</v>
      </c>
      <c r="G725" s="170" t="s">
        <v>340</v>
      </c>
      <c r="H725" s="170" t="s">
        <v>344</v>
      </c>
      <c r="I725" s="172" t="s">
        <v>345</v>
      </c>
      <c r="J725" s="170" t="str">
        <f t="shared" si="11"/>
        <v>Seventwothree</v>
      </c>
      <c r="K725" s="170" t="s">
        <v>1170</v>
      </c>
    </row>
    <row r="726" spans="6:11" ht="17.5" x14ac:dyDescent="0.35">
      <c r="F726" s="170">
        <v>724</v>
      </c>
      <c r="G726" s="170" t="s">
        <v>340</v>
      </c>
      <c r="H726" s="170" t="s">
        <v>344</v>
      </c>
      <c r="I726" s="173" t="s">
        <v>346</v>
      </c>
      <c r="J726" s="170" t="str">
        <f t="shared" si="11"/>
        <v>Seventwofour</v>
      </c>
      <c r="K726" s="170" t="s">
        <v>1171</v>
      </c>
    </row>
    <row r="727" spans="6:11" ht="17.5" x14ac:dyDescent="0.35">
      <c r="F727" s="170">
        <v>725</v>
      </c>
      <c r="G727" s="170" t="s">
        <v>340</v>
      </c>
      <c r="H727" s="170" t="s">
        <v>344</v>
      </c>
      <c r="I727" s="173" t="s">
        <v>347</v>
      </c>
      <c r="J727" s="170" t="str">
        <f t="shared" si="11"/>
        <v>Seventwofive</v>
      </c>
      <c r="K727" s="170" t="s">
        <v>1172</v>
      </c>
    </row>
    <row r="728" spans="6:11" ht="17.5" x14ac:dyDescent="0.35">
      <c r="F728" s="170">
        <v>726</v>
      </c>
      <c r="G728" s="170" t="s">
        <v>340</v>
      </c>
      <c r="H728" s="170" t="s">
        <v>344</v>
      </c>
      <c r="I728" s="173" t="s">
        <v>348</v>
      </c>
      <c r="J728" s="170" t="str">
        <f t="shared" si="11"/>
        <v>Seventwosix</v>
      </c>
      <c r="K728" s="170" t="s">
        <v>1173</v>
      </c>
    </row>
    <row r="729" spans="6:11" ht="17.5" x14ac:dyDescent="0.35">
      <c r="F729" s="170">
        <v>727</v>
      </c>
      <c r="G729" s="170" t="s">
        <v>340</v>
      </c>
      <c r="H729" s="170" t="s">
        <v>344</v>
      </c>
      <c r="I729" s="173" t="s">
        <v>349</v>
      </c>
      <c r="J729" s="170" t="str">
        <f t="shared" si="11"/>
        <v>Seventwoseven</v>
      </c>
      <c r="K729" s="170" t="s">
        <v>1174</v>
      </c>
    </row>
    <row r="730" spans="6:11" ht="17.5" x14ac:dyDescent="0.35">
      <c r="F730" s="170">
        <v>728</v>
      </c>
      <c r="G730" s="170" t="s">
        <v>340</v>
      </c>
      <c r="H730" s="170" t="s">
        <v>344</v>
      </c>
      <c r="I730" s="173" t="s">
        <v>350</v>
      </c>
      <c r="J730" s="170" t="str">
        <f t="shared" si="11"/>
        <v>Seventwoeight</v>
      </c>
      <c r="K730" s="170" t="s">
        <v>1175</v>
      </c>
    </row>
    <row r="731" spans="6:11" ht="17.5" x14ac:dyDescent="0.35">
      <c r="F731" s="170">
        <v>729</v>
      </c>
      <c r="G731" s="170" t="s">
        <v>340</v>
      </c>
      <c r="H731" s="170" t="s">
        <v>344</v>
      </c>
      <c r="I731" s="173" t="s">
        <v>351</v>
      </c>
      <c r="J731" s="170" t="str">
        <f t="shared" si="11"/>
        <v>Seventwonine</v>
      </c>
      <c r="K731" s="170" t="s">
        <v>1176</v>
      </c>
    </row>
    <row r="732" spans="6:11" x14ac:dyDescent="0.35">
      <c r="F732" s="170">
        <v>730</v>
      </c>
      <c r="G732" s="170" t="s">
        <v>340</v>
      </c>
      <c r="H732" s="170" t="s">
        <v>345</v>
      </c>
      <c r="I732" s="170" t="s">
        <v>465</v>
      </c>
      <c r="J732" s="170" t="str">
        <f t="shared" si="11"/>
        <v>Seventhreezero</v>
      </c>
      <c r="K732" s="170" t="s">
        <v>1177</v>
      </c>
    </row>
    <row r="733" spans="6:11" ht="17.5" x14ac:dyDescent="0.35">
      <c r="F733" s="170">
        <v>731</v>
      </c>
      <c r="G733" s="170" t="s">
        <v>340</v>
      </c>
      <c r="H733" s="170" t="s">
        <v>345</v>
      </c>
      <c r="I733" s="172" t="s">
        <v>343</v>
      </c>
      <c r="J733" s="170" t="str">
        <f t="shared" si="11"/>
        <v>Seventhreeone</v>
      </c>
      <c r="K733" s="170" t="s">
        <v>1178</v>
      </c>
    </row>
    <row r="734" spans="6:11" ht="17.5" x14ac:dyDescent="0.35">
      <c r="F734" s="170">
        <v>732</v>
      </c>
      <c r="G734" s="170" t="s">
        <v>340</v>
      </c>
      <c r="H734" s="170" t="s">
        <v>345</v>
      </c>
      <c r="I734" s="172" t="s">
        <v>344</v>
      </c>
      <c r="J734" s="170" t="str">
        <f t="shared" si="11"/>
        <v>Seventhreetwo</v>
      </c>
      <c r="K734" s="170" t="s">
        <v>1179</v>
      </c>
    </row>
    <row r="735" spans="6:11" ht="17.5" x14ac:dyDescent="0.35">
      <c r="F735" s="170">
        <v>733</v>
      </c>
      <c r="G735" s="170" t="s">
        <v>340</v>
      </c>
      <c r="H735" s="170" t="s">
        <v>345</v>
      </c>
      <c r="I735" s="172" t="s">
        <v>345</v>
      </c>
      <c r="J735" s="170" t="str">
        <f t="shared" si="11"/>
        <v>Seventhreethree</v>
      </c>
      <c r="K735" s="170" t="s">
        <v>1180</v>
      </c>
    </row>
    <row r="736" spans="6:11" ht="17.5" x14ac:dyDescent="0.35">
      <c r="F736" s="170">
        <v>734</v>
      </c>
      <c r="G736" s="170" t="s">
        <v>340</v>
      </c>
      <c r="H736" s="170" t="s">
        <v>345</v>
      </c>
      <c r="I736" s="173" t="s">
        <v>346</v>
      </c>
      <c r="J736" s="170" t="str">
        <f t="shared" si="11"/>
        <v>Seventhreefour</v>
      </c>
      <c r="K736" s="170" t="s">
        <v>1181</v>
      </c>
    </row>
    <row r="737" spans="6:11" ht="17.5" x14ac:dyDescent="0.35">
      <c r="F737" s="170">
        <v>735</v>
      </c>
      <c r="G737" s="170" t="s">
        <v>340</v>
      </c>
      <c r="H737" s="170" t="s">
        <v>345</v>
      </c>
      <c r="I737" s="173" t="s">
        <v>347</v>
      </c>
      <c r="J737" s="170" t="str">
        <f t="shared" si="11"/>
        <v>Seventhreefive</v>
      </c>
      <c r="K737" s="170" t="s">
        <v>1182</v>
      </c>
    </row>
    <row r="738" spans="6:11" ht="17.5" x14ac:dyDescent="0.35">
      <c r="F738" s="170">
        <v>736</v>
      </c>
      <c r="G738" s="170" t="s">
        <v>340</v>
      </c>
      <c r="H738" s="170" t="s">
        <v>345</v>
      </c>
      <c r="I738" s="173" t="s">
        <v>348</v>
      </c>
      <c r="J738" s="170" t="str">
        <f t="shared" si="11"/>
        <v>Seventhreesix</v>
      </c>
      <c r="K738" s="170" t="s">
        <v>1183</v>
      </c>
    </row>
    <row r="739" spans="6:11" ht="17.5" x14ac:dyDescent="0.35">
      <c r="F739" s="170">
        <v>737</v>
      </c>
      <c r="G739" s="170" t="s">
        <v>340</v>
      </c>
      <c r="H739" s="170" t="s">
        <v>345</v>
      </c>
      <c r="I739" s="173" t="s">
        <v>349</v>
      </c>
      <c r="J739" s="170" t="str">
        <f t="shared" si="11"/>
        <v>Seventhreeseven</v>
      </c>
      <c r="K739" s="170" t="s">
        <v>1184</v>
      </c>
    </row>
    <row r="740" spans="6:11" ht="17.5" x14ac:dyDescent="0.35">
      <c r="F740" s="170">
        <v>738</v>
      </c>
      <c r="G740" s="170" t="s">
        <v>340</v>
      </c>
      <c r="H740" s="170" t="s">
        <v>345</v>
      </c>
      <c r="I740" s="173" t="s">
        <v>350</v>
      </c>
      <c r="J740" s="170" t="str">
        <f t="shared" si="11"/>
        <v>Seventhreeeight</v>
      </c>
      <c r="K740" s="170" t="s">
        <v>1185</v>
      </c>
    </row>
    <row r="741" spans="6:11" ht="17.5" x14ac:dyDescent="0.35">
      <c r="F741" s="170">
        <v>739</v>
      </c>
      <c r="G741" s="170" t="s">
        <v>340</v>
      </c>
      <c r="H741" s="170" t="s">
        <v>345</v>
      </c>
      <c r="I741" s="173" t="s">
        <v>351</v>
      </c>
      <c r="J741" s="170" t="str">
        <f t="shared" si="11"/>
        <v>Seventhreenine</v>
      </c>
      <c r="K741" s="170" t="s">
        <v>1186</v>
      </c>
    </row>
    <row r="742" spans="6:11" x14ac:dyDescent="0.35">
      <c r="F742" s="170">
        <v>740</v>
      </c>
      <c r="G742" s="170" t="s">
        <v>340</v>
      </c>
      <c r="H742" s="170" t="s">
        <v>346</v>
      </c>
      <c r="I742" s="170" t="s">
        <v>465</v>
      </c>
      <c r="J742" s="170" t="str">
        <f t="shared" ref="J742:J752" si="12">G742&amp;H742&amp;I742</f>
        <v>Sevenfourzero</v>
      </c>
      <c r="K742" s="170" t="s">
        <v>1187</v>
      </c>
    </row>
    <row r="743" spans="6:11" ht="17.5" x14ac:dyDescent="0.35">
      <c r="F743" s="170">
        <v>741</v>
      </c>
      <c r="G743" s="170" t="s">
        <v>340</v>
      </c>
      <c r="H743" s="170" t="s">
        <v>346</v>
      </c>
      <c r="I743" s="172" t="s">
        <v>343</v>
      </c>
      <c r="J743" s="170" t="str">
        <f t="shared" si="12"/>
        <v>Sevenfourone</v>
      </c>
      <c r="K743" s="170" t="s">
        <v>1188</v>
      </c>
    </row>
    <row r="744" spans="6:11" ht="17.5" x14ac:dyDescent="0.35">
      <c r="F744" s="170">
        <v>742</v>
      </c>
      <c r="G744" s="170" t="s">
        <v>340</v>
      </c>
      <c r="H744" s="170" t="s">
        <v>346</v>
      </c>
      <c r="I744" s="172" t="s">
        <v>344</v>
      </c>
      <c r="J744" s="170" t="str">
        <f t="shared" si="12"/>
        <v>Sevenfourtwo</v>
      </c>
      <c r="K744" s="170" t="s">
        <v>1189</v>
      </c>
    </row>
    <row r="745" spans="6:11" ht="17.5" x14ac:dyDescent="0.35">
      <c r="F745" s="170">
        <v>743</v>
      </c>
      <c r="G745" s="170" t="s">
        <v>340</v>
      </c>
      <c r="H745" s="170" t="s">
        <v>346</v>
      </c>
      <c r="I745" s="172" t="s">
        <v>345</v>
      </c>
      <c r="J745" s="170" t="str">
        <f t="shared" si="12"/>
        <v>Sevenfourthree</v>
      </c>
      <c r="K745" s="170" t="s">
        <v>1190</v>
      </c>
    </row>
    <row r="746" spans="6:11" ht="17.5" x14ac:dyDescent="0.35">
      <c r="F746" s="170">
        <v>744</v>
      </c>
      <c r="G746" s="170" t="s">
        <v>340</v>
      </c>
      <c r="H746" s="170" t="s">
        <v>346</v>
      </c>
      <c r="I746" s="173" t="s">
        <v>346</v>
      </c>
      <c r="J746" s="170" t="str">
        <f t="shared" si="12"/>
        <v>Sevenfourfour</v>
      </c>
      <c r="K746" s="170" t="s">
        <v>1191</v>
      </c>
    </row>
    <row r="747" spans="6:11" ht="17.5" x14ac:dyDescent="0.35">
      <c r="F747" s="170">
        <v>745</v>
      </c>
      <c r="G747" s="170" t="s">
        <v>340</v>
      </c>
      <c r="H747" s="170" t="s">
        <v>346</v>
      </c>
      <c r="I747" s="173" t="s">
        <v>347</v>
      </c>
      <c r="J747" s="170" t="str">
        <f t="shared" si="12"/>
        <v>Sevenfourfive</v>
      </c>
      <c r="K747" s="170" t="s">
        <v>1192</v>
      </c>
    </row>
    <row r="748" spans="6:11" ht="17.5" x14ac:dyDescent="0.35">
      <c r="F748" s="170">
        <v>746</v>
      </c>
      <c r="G748" s="170" t="s">
        <v>340</v>
      </c>
      <c r="H748" s="170" t="s">
        <v>346</v>
      </c>
      <c r="I748" s="173" t="s">
        <v>348</v>
      </c>
      <c r="J748" s="170" t="str">
        <f t="shared" si="12"/>
        <v>Sevenfoursix</v>
      </c>
      <c r="K748" s="170" t="s">
        <v>1193</v>
      </c>
    </row>
    <row r="749" spans="6:11" ht="17.5" x14ac:dyDescent="0.35">
      <c r="F749" s="170">
        <v>747</v>
      </c>
      <c r="G749" s="170" t="s">
        <v>340</v>
      </c>
      <c r="H749" s="170" t="s">
        <v>346</v>
      </c>
      <c r="I749" s="173" t="s">
        <v>349</v>
      </c>
      <c r="J749" s="170" t="str">
        <f t="shared" si="12"/>
        <v>Sevenfourseven</v>
      </c>
      <c r="K749" s="170" t="s">
        <v>1194</v>
      </c>
    </row>
    <row r="750" spans="6:11" ht="17.5" x14ac:dyDescent="0.35">
      <c r="F750" s="170">
        <v>748</v>
      </c>
      <c r="G750" s="170" t="s">
        <v>340</v>
      </c>
      <c r="H750" s="170" t="s">
        <v>346</v>
      </c>
      <c r="I750" s="173" t="s">
        <v>350</v>
      </c>
      <c r="J750" s="170" t="str">
        <f t="shared" si="12"/>
        <v>Sevenfoureight</v>
      </c>
      <c r="K750" s="170" t="s">
        <v>1195</v>
      </c>
    </row>
    <row r="751" spans="6:11" ht="17.5" x14ac:dyDescent="0.35">
      <c r="F751" s="170">
        <v>749</v>
      </c>
      <c r="G751" s="170" t="s">
        <v>340</v>
      </c>
      <c r="H751" s="170" t="s">
        <v>346</v>
      </c>
      <c r="I751" s="173" t="s">
        <v>351</v>
      </c>
      <c r="J751" s="170" t="str">
        <f t="shared" si="12"/>
        <v>Sevenfournine</v>
      </c>
      <c r="K751" s="170" t="s">
        <v>1196</v>
      </c>
    </row>
    <row r="752" spans="6:11" ht="17.5" x14ac:dyDescent="0.35">
      <c r="F752" s="170">
        <v>750</v>
      </c>
      <c r="G752" s="170" t="s">
        <v>340</v>
      </c>
      <c r="H752" s="170" t="s">
        <v>347</v>
      </c>
      <c r="I752" s="177" t="s">
        <v>465</v>
      </c>
      <c r="J752" s="170" t="str">
        <f t="shared" si="12"/>
        <v>Sevenfivezero</v>
      </c>
      <c r="K752" s="170" t="s">
        <v>1197</v>
      </c>
    </row>
    <row r="753" spans="9:9" ht="17.5" x14ac:dyDescent="0.35">
      <c r="I753" s="172"/>
    </row>
    <row r="754" spans="9:9" ht="17.5" x14ac:dyDescent="0.35">
      <c r="I754" s="172"/>
    </row>
    <row r="755" spans="9:9" ht="17.5" x14ac:dyDescent="0.35">
      <c r="I755" s="172"/>
    </row>
    <row r="756" spans="9:9" ht="17.5" x14ac:dyDescent="0.35">
      <c r="I756" s="173"/>
    </row>
    <row r="757" spans="9:9" ht="17.5" x14ac:dyDescent="0.35">
      <c r="I757" s="173"/>
    </row>
    <row r="758" spans="9:9" ht="17.5" x14ac:dyDescent="0.35">
      <c r="I758" s="173"/>
    </row>
    <row r="759" spans="9:9" ht="17.5" x14ac:dyDescent="0.35">
      <c r="I759" s="173"/>
    </row>
    <row r="760" spans="9:9" ht="17.5" x14ac:dyDescent="0.35">
      <c r="I760" s="173"/>
    </row>
    <row r="761" spans="9:9" ht="17.5" x14ac:dyDescent="0.35">
      <c r="I761" s="173"/>
    </row>
    <row r="762" spans="9:9" ht="17.5" x14ac:dyDescent="0.35">
      <c r="I762" s="177"/>
    </row>
    <row r="763" spans="9:9" ht="17.5" x14ac:dyDescent="0.35">
      <c r="I763" s="172"/>
    </row>
    <row r="764" spans="9:9" ht="17.5" x14ac:dyDescent="0.35">
      <c r="I764" s="172"/>
    </row>
    <row r="765" spans="9:9" ht="17.5" x14ac:dyDescent="0.35">
      <c r="I765" s="172"/>
    </row>
    <row r="766" spans="9:9" ht="17.5" x14ac:dyDescent="0.35">
      <c r="I766" s="173"/>
    </row>
    <row r="767" spans="9:9" ht="17.5" x14ac:dyDescent="0.35">
      <c r="I767" s="173"/>
    </row>
    <row r="768" spans="9:9" ht="17.5" x14ac:dyDescent="0.35">
      <c r="I768" s="173"/>
    </row>
    <row r="769" spans="9:9" ht="17.5" x14ac:dyDescent="0.35">
      <c r="I769" s="173"/>
    </row>
    <row r="770" spans="9:9" ht="17.5" x14ac:dyDescent="0.35">
      <c r="I770" s="173"/>
    </row>
    <row r="771" spans="9:9" ht="17.5" x14ac:dyDescent="0.35">
      <c r="I771" s="173"/>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B72"/>
  <sheetViews>
    <sheetView tabSelected="1" topLeftCell="C27" zoomScale="40" zoomScaleNormal="40" workbookViewId="0">
      <pane xSplit="4" topLeftCell="G1" activePane="topRight" state="frozen"/>
      <selection activeCell="C19" sqref="C19"/>
      <selection pane="topRight" activeCell="G65" sqref="G65"/>
    </sheetView>
  </sheetViews>
  <sheetFormatPr defaultRowHeight="14.5" x14ac:dyDescent="0.35"/>
  <cols>
    <col min="1" max="1" width="30.1796875" style="8" bestFit="1" customWidth="1"/>
    <col min="2" max="2" width="28.54296875" style="8" customWidth="1"/>
    <col min="3" max="3" width="26.81640625" style="133" customWidth="1"/>
    <col min="4" max="4" width="39.36328125" hidden="1" customWidth="1"/>
    <col min="5" max="5" width="73.08984375" hidden="1" customWidth="1"/>
    <col min="6" max="6" width="34.81640625" style="5" hidden="1" customWidth="1"/>
    <col min="7" max="7" width="60.453125" style="5" customWidth="1"/>
    <col min="8" max="8" width="56.1796875" customWidth="1"/>
    <col min="9" max="9" width="60.26953125" style="5" customWidth="1"/>
    <col min="10" max="10" width="62.453125" customWidth="1"/>
    <col min="11" max="11" width="65.54296875" customWidth="1"/>
    <col min="12" max="21" width="45.7265625" customWidth="1"/>
  </cols>
  <sheetData>
    <row r="1" spans="1:22" ht="15" thickBot="1" x14ac:dyDescent="0.4">
      <c r="A1" s="39" t="s">
        <v>17</v>
      </c>
      <c r="B1" s="12"/>
      <c r="C1" s="131" t="s">
        <v>18</v>
      </c>
      <c r="D1" s="127" t="s">
        <v>18</v>
      </c>
      <c r="E1" s="70" t="s">
        <v>19</v>
      </c>
      <c r="F1" s="122" t="s">
        <v>20</v>
      </c>
      <c r="G1" s="13" t="s">
        <v>21</v>
      </c>
      <c r="H1" s="13" t="s">
        <v>22</v>
      </c>
      <c r="I1" s="13" t="s">
        <v>23</v>
      </c>
      <c r="J1" s="13" t="s">
        <v>24</v>
      </c>
      <c r="K1" s="13" t="s">
        <v>25</v>
      </c>
      <c r="L1" s="13" t="s">
        <v>1244</v>
      </c>
      <c r="M1" s="13" t="s">
        <v>1245</v>
      </c>
      <c r="N1" s="13" t="s">
        <v>1246</v>
      </c>
      <c r="O1" s="13" t="s">
        <v>1247</v>
      </c>
      <c r="P1" s="13" t="s">
        <v>1248</v>
      </c>
      <c r="Q1" s="13" t="s">
        <v>1249</v>
      </c>
      <c r="R1" s="13" t="s">
        <v>1250</v>
      </c>
      <c r="S1" s="13" t="s">
        <v>1251</v>
      </c>
      <c r="T1" s="13" t="s">
        <v>1252</v>
      </c>
      <c r="U1" s="13" t="s">
        <v>1253</v>
      </c>
    </row>
    <row r="2" spans="1:22" ht="15" thickBot="1" x14ac:dyDescent="0.4">
      <c r="A2" s="39" t="s">
        <v>2</v>
      </c>
      <c r="B2" s="12"/>
      <c r="C2" s="131" t="s">
        <v>26</v>
      </c>
      <c r="D2" s="139"/>
      <c r="E2" s="150"/>
      <c r="F2" s="151"/>
      <c r="G2" s="169">
        <v>1</v>
      </c>
      <c r="H2" s="169">
        <v>2</v>
      </c>
      <c r="I2" s="169">
        <v>3</v>
      </c>
      <c r="J2" s="169">
        <v>4</v>
      </c>
      <c r="K2" s="169">
        <v>5</v>
      </c>
      <c r="L2" s="169">
        <v>6</v>
      </c>
      <c r="M2" s="169">
        <v>7</v>
      </c>
      <c r="N2" s="169">
        <v>8</v>
      </c>
      <c r="O2" s="169">
        <v>9</v>
      </c>
      <c r="P2" s="169">
        <v>10</v>
      </c>
      <c r="Q2" s="169">
        <v>11</v>
      </c>
      <c r="R2" s="169">
        <v>12</v>
      </c>
      <c r="S2" s="169">
        <v>13</v>
      </c>
      <c r="T2" s="169">
        <v>14</v>
      </c>
      <c r="U2" s="169">
        <v>15</v>
      </c>
    </row>
    <row r="3" spans="1:22" ht="39" x14ac:dyDescent="0.35">
      <c r="A3" s="39"/>
      <c r="B3" s="12"/>
      <c r="C3" s="69" t="s">
        <v>27</v>
      </c>
      <c r="D3" s="127" t="s">
        <v>27</v>
      </c>
      <c r="E3" s="70" t="s">
        <v>28</v>
      </c>
      <c r="F3" s="123" t="s">
        <v>29</v>
      </c>
      <c r="G3" s="41" t="s">
        <v>30</v>
      </c>
      <c r="H3" s="41" t="s">
        <v>31</v>
      </c>
      <c r="I3" s="41" t="s">
        <v>31</v>
      </c>
      <c r="J3" s="41" t="s">
        <v>31</v>
      </c>
      <c r="K3" s="41" t="s">
        <v>31</v>
      </c>
      <c r="L3" s="41" t="s">
        <v>31</v>
      </c>
      <c r="M3" s="41" t="s">
        <v>31</v>
      </c>
      <c r="N3" s="41" t="s">
        <v>30</v>
      </c>
      <c r="O3" s="41" t="s">
        <v>31</v>
      </c>
      <c r="P3" s="41" t="s">
        <v>30</v>
      </c>
      <c r="Q3" s="41" t="s">
        <v>31</v>
      </c>
      <c r="R3" s="41" t="s">
        <v>31</v>
      </c>
      <c r="S3" s="41" t="s">
        <v>30</v>
      </c>
      <c r="T3" s="41" t="s">
        <v>30</v>
      </c>
      <c r="U3" s="41" t="s">
        <v>30</v>
      </c>
    </row>
    <row r="4" spans="1:22" x14ac:dyDescent="0.35">
      <c r="A4" s="12"/>
      <c r="B4" s="12"/>
      <c r="C4" s="65" t="s">
        <v>32</v>
      </c>
      <c r="D4" s="128" t="s">
        <v>33</v>
      </c>
      <c r="E4" s="67" t="s">
        <v>34</v>
      </c>
      <c r="F4" s="65" t="s">
        <v>35</v>
      </c>
      <c r="G4" s="228" t="s">
        <v>234</v>
      </c>
      <c r="H4" s="228" t="s">
        <v>234</v>
      </c>
      <c r="I4" s="228" t="s">
        <v>234</v>
      </c>
      <c r="J4" s="228" t="s">
        <v>234</v>
      </c>
      <c r="K4" s="228" t="s">
        <v>234</v>
      </c>
      <c r="L4" s="228" t="s">
        <v>234</v>
      </c>
      <c r="M4" s="228" t="s">
        <v>234</v>
      </c>
      <c r="N4" s="228" t="s">
        <v>234</v>
      </c>
      <c r="O4" s="228" t="s">
        <v>234</v>
      </c>
      <c r="P4" s="228" t="s">
        <v>234</v>
      </c>
      <c r="Q4" s="228" t="s">
        <v>234</v>
      </c>
      <c r="R4" s="228" t="s">
        <v>234</v>
      </c>
      <c r="S4" s="228" t="s">
        <v>234</v>
      </c>
      <c r="T4" s="228" t="s">
        <v>234</v>
      </c>
      <c r="U4" s="228" t="s">
        <v>234</v>
      </c>
    </row>
    <row r="5" spans="1:22" x14ac:dyDescent="0.35">
      <c r="A5" s="12"/>
      <c r="B5" s="12"/>
      <c r="C5" s="65" t="s">
        <v>37</v>
      </c>
      <c r="D5" s="128" t="s">
        <v>38</v>
      </c>
      <c r="E5" s="67" t="s">
        <v>39</v>
      </c>
      <c r="F5" s="65"/>
      <c r="G5" s="42" t="b">
        <v>1</v>
      </c>
      <c r="H5" s="42" t="b">
        <v>1</v>
      </c>
      <c r="I5" s="42" t="b">
        <v>1</v>
      </c>
      <c r="J5" s="42" t="b">
        <v>1</v>
      </c>
      <c r="K5" s="42" t="b">
        <v>1</v>
      </c>
      <c r="L5" s="42" t="b">
        <v>1</v>
      </c>
      <c r="M5" s="42" t="b">
        <v>1</v>
      </c>
      <c r="N5" s="42" t="b">
        <v>1</v>
      </c>
      <c r="O5" s="42" t="b">
        <v>1</v>
      </c>
      <c r="P5" s="42" t="b">
        <v>1</v>
      </c>
      <c r="Q5" s="42" t="b">
        <v>1</v>
      </c>
      <c r="R5" s="42" t="b">
        <v>1</v>
      </c>
      <c r="S5" s="42" t="b">
        <v>1</v>
      </c>
      <c r="T5" s="42" t="b">
        <v>1</v>
      </c>
      <c r="U5" s="42" t="b">
        <v>1</v>
      </c>
    </row>
    <row r="6" spans="1:22" x14ac:dyDescent="0.35">
      <c r="A6" s="12"/>
      <c r="B6" s="12"/>
      <c r="C6" s="65" t="s">
        <v>40</v>
      </c>
      <c r="D6" s="128" t="s">
        <v>41</v>
      </c>
      <c r="E6" s="67" t="s">
        <v>42</v>
      </c>
      <c r="F6" s="65"/>
      <c r="G6" s="42" t="b">
        <v>1</v>
      </c>
      <c r="H6" s="42" t="b">
        <v>1</v>
      </c>
      <c r="I6" s="42" t="b">
        <v>1</v>
      </c>
      <c r="J6" s="42" t="b">
        <v>1</v>
      </c>
      <c r="K6" s="42" t="b">
        <v>1</v>
      </c>
      <c r="L6" s="42" t="b">
        <v>1</v>
      </c>
      <c r="M6" s="42" t="b">
        <v>1</v>
      </c>
      <c r="N6" s="42" t="b">
        <v>1</v>
      </c>
      <c r="O6" s="42" t="b">
        <v>1</v>
      </c>
      <c r="P6" s="42" t="b">
        <v>1</v>
      </c>
      <c r="Q6" s="42" t="b">
        <v>1</v>
      </c>
      <c r="R6" s="42" t="b">
        <v>1</v>
      </c>
      <c r="S6" s="42" t="b">
        <v>1</v>
      </c>
      <c r="T6" s="42" t="b">
        <v>1</v>
      </c>
      <c r="U6" s="42" t="b">
        <v>1</v>
      </c>
    </row>
    <row r="7" spans="1:22" ht="39" x14ac:dyDescent="0.35">
      <c r="A7" s="12"/>
      <c r="B7" s="12"/>
      <c r="C7" s="65" t="s">
        <v>43</v>
      </c>
      <c r="D7" s="128" t="s">
        <v>44</v>
      </c>
      <c r="E7" s="67" t="s">
        <v>45</v>
      </c>
      <c r="F7" s="124" t="s">
        <v>46</v>
      </c>
      <c r="G7" s="42" t="s">
        <v>1426</v>
      </c>
      <c r="H7" s="42" t="s">
        <v>1429</v>
      </c>
      <c r="I7" s="42" t="s">
        <v>1431</v>
      </c>
      <c r="J7" s="42" t="s">
        <v>1434</v>
      </c>
      <c r="K7" s="42" t="s">
        <v>1437</v>
      </c>
      <c r="L7" s="42" t="s">
        <v>1440</v>
      </c>
      <c r="M7" s="42" t="s">
        <v>1443</v>
      </c>
      <c r="N7" s="42" t="s">
        <v>1445</v>
      </c>
      <c r="O7" s="42" t="s">
        <v>1448</v>
      </c>
      <c r="P7" s="42" t="s">
        <v>1450</v>
      </c>
      <c r="Q7" s="42" t="s">
        <v>1453</v>
      </c>
      <c r="R7" s="42" t="s">
        <v>1456</v>
      </c>
      <c r="S7" s="42" t="s">
        <v>1458</v>
      </c>
      <c r="T7" s="42" t="s">
        <v>1460</v>
      </c>
      <c r="U7" s="42" t="s">
        <v>1462</v>
      </c>
    </row>
    <row r="8" spans="1:22" ht="30" customHeight="1" x14ac:dyDescent="0.35">
      <c r="A8" s="12"/>
      <c r="B8" s="12"/>
      <c r="C8" s="65" t="s">
        <v>47</v>
      </c>
      <c r="D8" s="128" t="s">
        <v>48</v>
      </c>
      <c r="E8" s="67" t="s">
        <v>49</v>
      </c>
      <c r="F8" s="125" t="s">
        <v>50</v>
      </c>
      <c r="G8" s="43"/>
      <c r="H8" s="43"/>
      <c r="I8" s="43"/>
      <c r="J8" s="43"/>
      <c r="K8" s="43"/>
      <c r="L8" s="43"/>
      <c r="M8" s="43"/>
      <c r="N8" s="43"/>
      <c r="O8" s="43"/>
      <c r="P8" s="43"/>
      <c r="Q8" s="43"/>
      <c r="R8" s="43"/>
      <c r="S8" s="43"/>
      <c r="T8" s="43"/>
      <c r="U8" s="43"/>
    </row>
    <row r="9" spans="1:22" ht="144" customHeight="1" x14ac:dyDescent="0.35">
      <c r="A9" s="12"/>
      <c r="B9" s="12"/>
      <c r="C9" s="65" t="s">
        <v>51</v>
      </c>
      <c r="D9" s="128" t="s">
        <v>52</v>
      </c>
      <c r="E9" s="71" t="s">
        <v>53</v>
      </c>
      <c r="F9" s="65" t="s">
        <v>54</v>
      </c>
      <c r="G9" s="72" t="s">
        <v>1427</v>
      </c>
      <c r="H9" s="72" t="s">
        <v>1430</v>
      </c>
      <c r="I9" s="72" t="s">
        <v>1432</v>
      </c>
      <c r="J9" s="72" t="s">
        <v>1435</v>
      </c>
      <c r="K9" s="72" t="s">
        <v>1438</v>
      </c>
      <c r="L9" s="72" t="s">
        <v>1441</v>
      </c>
      <c r="M9" s="72" t="s">
        <v>1444</v>
      </c>
      <c r="N9" s="72" t="s">
        <v>1446</v>
      </c>
      <c r="O9" s="72" t="s">
        <v>1449</v>
      </c>
      <c r="P9" s="72" t="s">
        <v>1451</v>
      </c>
      <c r="Q9" s="72" t="s">
        <v>1454</v>
      </c>
      <c r="R9" s="72" t="s">
        <v>1457</v>
      </c>
      <c r="S9" s="72" t="s">
        <v>1459</v>
      </c>
      <c r="T9" s="72" t="s">
        <v>1461</v>
      </c>
      <c r="U9" s="72" t="s">
        <v>1463</v>
      </c>
    </row>
    <row r="10" spans="1:22" ht="31.5" customHeight="1" x14ac:dyDescent="0.35">
      <c r="A10" s="12"/>
      <c r="B10" s="12"/>
      <c r="C10" s="65" t="s">
        <v>55</v>
      </c>
      <c r="D10" s="128" t="s">
        <v>56</v>
      </c>
      <c r="E10" s="67" t="s">
        <v>57</v>
      </c>
      <c r="F10" s="124" t="s">
        <v>58</v>
      </c>
      <c r="G10" s="140"/>
      <c r="H10" s="140"/>
      <c r="I10" s="154"/>
      <c r="J10" s="140"/>
      <c r="K10" s="140"/>
      <c r="L10" s="140"/>
      <c r="M10" s="140"/>
      <c r="N10" s="140"/>
      <c r="O10" s="140"/>
      <c r="P10" s="140"/>
      <c r="Q10" s="140"/>
      <c r="R10" s="140"/>
      <c r="S10" s="140"/>
      <c r="T10" s="140"/>
      <c r="U10" s="140"/>
    </row>
    <row r="11" spans="1:22" ht="62.25" customHeight="1" x14ac:dyDescent="0.35">
      <c r="A11" s="12"/>
      <c r="B11" s="12"/>
      <c r="C11" s="65" t="s">
        <v>59</v>
      </c>
      <c r="D11" s="128" t="s">
        <v>60</v>
      </c>
      <c r="E11" s="67" t="s">
        <v>61</v>
      </c>
      <c r="F11" s="65" t="s">
        <v>62</v>
      </c>
      <c r="G11" s="72"/>
      <c r="H11" s="72"/>
      <c r="I11" s="72"/>
      <c r="J11" s="72"/>
      <c r="K11" s="72"/>
      <c r="L11" s="72"/>
      <c r="M11" s="72"/>
      <c r="N11" s="72"/>
      <c r="O11" s="72"/>
      <c r="P11" s="72"/>
      <c r="Q11" s="72"/>
      <c r="R11" s="72"/>
      <c r="S11" s="72"/>
      <c r="T11" s="72"/>
      <c r="U11" s="72"/>
    </row>
    <row r="12" spans="1:22" ht="15" thickBot="1" x14ac:dyDescent="0.4">
      <c r="A12" s="12"/>
      <c r="B12" s="12"/>
      <c r="C12" s="66" t="s">
        <v>63</v>
      </c>
      <c r="D12" s="129" t="s">
        <v>64</v>
      </c>
      <c r="E12" s="68" t="s">
        <v>65</v>
      </c>
      <c r="F12" s="66" t="s">
        <v>66</v>
      </c>
      <c r="G12" s="141"/>
      <c r="H12" s="142"/>
      <c r="I12" s="143"/>
      <c r="J12" s="143"/>
      <c r="K12" s="143"/>
      <c r="L12" s="143"/>
      <c r="M12" s="143"/>
      <c r="N12" s="143"/>
      <c r="O12" s="143"/>
      <c r="P12" s="143"/>
      <c r="Q12" s="143"/>
      <c r="R12" s="143"/>
      <c r="S12" s="143"/>
      <c r="T12" s="143"/>
      <c r="U12" s="143"/>
    </row>
    <row r="13" spans="1:22" ht="31.5" customHeight="1" thickBot="1" x14ac:dyDescent="0.4">
      <c r="A13" s="12"/>
      <c r="B13" s="12"/>
      <c r="C13" s="135"/>
      <c r="D13" s="135"/>
      <c r="E13" s="135"/>
      <c r="F13" s="135"/>
      <c r="G13" s="136"/>
      <c r="H13" s="134"/>
      <c r="I13" s="134"/>
      <c r="J13" s="134"/>
      <c r="K13" s="134"/>
      <c r="L13" s="134"/>
      <c r="M13" s="134"/>
      <c r="N13" s="134"/>
      <c r="O13" s="134"/>
      <c r="P13" s="134"/>
      <c r="Q13" s="134"/>
      <c r="R13" s="134"/>
      <c r="S13" s="134"/>
      <c r="T13" s="134"/>
      <c r="U13" s="134"/>
    </row>
    <row r="14" spans="1:22" ht="15" thickBot="1" x14ac:dyDescent="0.4">
      <c r="A14" s="22" t="s">
        <v>67</v>
      </c>
      <c r="B14" s="126" t="s">
        <v>68</v>
      </c>
      <c r="C14" s="137" t="s">
        <v>69</v>
      </c>
      <c r="D14" s="138" t="s">
        <v>70</v>
      </c>
      <c r="E14" s="23" t="s">
        <v>71</v>
      </c>
      <c r="F14" s="23" t="s">
        <v>20</v>
      </c>
      <c r="G14" s="152" t="s">
        <v>21</v>
      </c>
      <c r="H14" s="152" t="s">
        <v>22</v>
      </c>
      <c r="I14" s="152" t="s">
        <v>23</v>
      </c>
      <c r="J14" s="152" t="s">
        <v>24</v>
      </c>
      <c r="K14" s="152" t="s">
        <v>25</v>
      </c>
      <c r="L14" s="152" t="s">
        <v>1244</v>
      </c>
      <c r="M14" s="152" t="s">
        <v>1245</v>
      </c>
      <c r="N14" s="152" t="s">
        <v>1246</v>
      </c>
      <c r="O14" s="152" t="s">
        <v>1247</v>
      </c>
      <c r="P14" s="152" t="s">
        <v>1248</v>
      </c>
      <c r="Q14" s="152" t="s">
        <v>1249</v>
      </c>
      <c r="R14" s="152" t="s">
        <v>1250</v>
      </c>
      <c r="S14" s="152" t="s">
        <v>1251</v>
      </c>
      <c r="T14" s="152" t="s">
        <v>1252</v>
      </c>
      <c r="U14" s="152" t="s">
        <v>1253</v>
      </c>
    </row>
    <row r="15" spans="1:22" ht="15" thickBot="1" x14ac:dyDescent="0.4">
      <c r="A15" s="9" t="s">
        <v>72</v>
      </c>
      <c r="B15" s="24" t="s">
        <v>73</v>
      </c>
      <c r="C15" s="148" t="s">
        <v>74</v>
      </c>
      <c r="D15" s="130" t="str">
        <f>SUBSTITUTE(A15," ","") &amp; "_" &amp; SUBSTITUTE(IF(B15="N/A","",B15&amp; "_")," ","")  &amp; SUBSTITUTE(SUBSTITUTE(C15," ",""),"/","")</f>
        <v>Login_Username</v>
      </c>
      <c r="E15" s="40" t="str">
        <f>D15&amp;2</f>
        <v>Login_Username2</v>
      </c>
      <c r="F15" s="144" t="s">
        <v>75</v>
      </c>
      <c r="G15" s="188">
        <v>90002195</v>
      </c>
      <c r="H15" s="188">
        <v>90002195</v>
      </c>
      <c r="I15" s="188">
        <v>90002195</v>
      </c>
      <c r="J15" s="188">
        <v>90002195</v>
      </c>
      <c r="K15" s="188">
        <v>90002195</v>
      </c>
      <c r="L15" s="188">
        <v>90002195</v>
      </c>
      <c r="M15" s="188">
        <v>90002195</v>
      </c>
      <c r="N15" s="188">
        <v>90002195</v>
      </c>
      <c r="O15" s="188">
        <v>90002195</v>
      </c>
      <c r="P15" s="188">
        <v>90002195</v>
      </c>
      <c r="Q15" s="188">
        <v>90002195</v>
      </c>
      <c r="R15" s="188">
        <v>90002195</v>
      </c>
      <c r="S15" s="188">
        <v>90002195</v>
      </c>
      <c r="T15" s="188">
        <v>90002195</v>
      </c>
      <c r="U15" s="188">
        <v>90002195</v>
      </c>
    </row>
    <row r="16" spans="1:22" ht="15" thickBot="1" x14ac:dyDescent="0.4">
      <c r="A16" s="10" t="s">
        <v>72</v>
      </c>
      <c r="B16" s="47" t="s">
        <v>73</v>
      </c>
      <c r="C16" s="132" t="s">
        <v>76</v>
      </c>
      <c r="D16" s="130" t="str">
        <f t="shared" ref="D16:D52" si="0">SUBSTITUTE(A16," ","") &amp; "_" &amp; SUBSTITUTE(IF(B16="N/A","",B16&amp; "_")," ","")  &amp; SUBSTITUTE(SUBSTITUTE(C16," ",""),"/","")</f>
        <v>Login_Password</v>
      </c>
      <c r="E16" s="40" t="str">
        <f t="shared" ref="E16:E52" si="1">D16&amp;2</f>
        <v>Login_Password2</v>
      </c>
      <c r="F16" s="145" t="s">
        <v>77</v>
      </c>
      <c r="G16" s="198" t="s">
        <v>1393</v>
      </c>
      <c r="H16" s="198" t="s">
        <v>1393</v>
      </c>
      <c r="I16" s="198" t="s">
        <v>1393</v>
      </c>
      <c r="J16" s="198" t="s">
        <v>1393</v>
      </c>
      <c r="K16" s="198" t="s">
        <v>1393</v>
      </c>
      <c r="L16" s="198" t="s">
        <v>1393</v>
      </c>
      <c r="M16" s="198" t="s">
        <v>1393</v>
      </c>
      <c r="N16" s="198" t="s">
        <v>1393</v>
      </c>
      <c r="O16" s="198" t="s">
        <v>1393</v>
      </c>
      <c r="P16" s="198" t="s">
        <v>1393</v>
      </c>
      <c r="Q16" s="198" t="s">
        <v>1393</v>
      </c>
      <c r="R16" s="198" t="s">
        <v>1393</v>
      </c>
      <c r="S16" s="198" t="s">
        <v>1393</v>
      </c>
      <c r="T16" s="198" t="s">
        <v>1393</v>
      </c>
      <c r="U16" s="198" t="s">
        <v>1393</v>
      </c>
      <c r="V16" t="s">
        <v>1393</v>
      </c>
    </row>
    <row r="17" spans="1:27" ht="15" thickBot="1" x14ac:dyDescent="0.4">
      <c r="A17" s="10" t="s">
        <v>78</v>
      </c>
      <c r="B17" s="47" t="s">
        <v>73</v>
      </c>
      <c r="C17" s="132" t="s">
        <v>78</v>
      </c>
      <c r="D17" s="130" t="str">
        <f t="shared" si="0"/>
        <v>SupervisoryOrganisation_SupervisoryOrganisation</v>
      </c>
      <c r="E17" s="40" t="str">
        <f t="shared" si="1"/>
        <v>SupervisoryOrganisation_SupervisoryOrganisation2</v>
      </c>
      <c r="F17" s="145"/>
      <c r="G17" s="178" t="s">
        <v>1299</v>
      </c>
      <c r="H17" s="178" t="s">
        <v>1300</v>
      </c>
      <c r="I17" s="178" t="s">
        <v>1300</v>
      </c>
      <c r="J17" s="178" t="s">
        <v>1300</v>
      </c>
      <c r="K17" s="178" t="s">
        <v>1300</v>
      </c>
      <c r="L17" s="178" t="s">
        <v>1300</v>
      </c>
      <c r="M17" s="178" t="s">
        <v>1300</v>
      </c>
      <c r="N17" s="178" t="s">
        <v>1299</v>
      </c>
      <c r="O17" s="178" t="s">
        <v>1300</v>
      </c>
      <c r="P17" s="178" t="s">
        <v>1299</v>
      </c>
      <c r="Q17" s="178" t="s">
        <v>1300</v>
      </c>
      <c r="R17" s="178" t="s">
        <v>1300</v>
      </c>
      <c r="S17" s="178" t="s">
        <v>1299</v>
      </c>
      <c r="T17" s="178" t="s">
        <v>1299</v>
      </c>
      <c r="U17" s="178" t="s">
        <v>1299</v>
      </c>
    </row>
    <row r="18" spans="1:27" ht="15" thickBot="1" x14ac:dyDescent="0.4">
      <c r="A18" s="10" t="s">
        <v>80</v>
      </c>
      <c r="B18" s="47" t="s">
        <v>73</v>
      </c>
      <c r="C18" s="132" t="s">
        <v>81</v>
      </c>
      <c r="D18" s="130" t="str">
        <f t="shared" si="0"/>
        <v>LegalNameInformation_Country</v>
      </c>
      <c r="E18" s="40" t="str">
        <f t="shared" si="1"/>
        <v>LegalNameInformation_Country2</v>
      </c>
      <c r="F18" s="146" t="s">
        <v>83</v>
      </c>
      <c r="G18" s="158" t="s">
        <v>1215</v>
      </c>
      <c r="H18" s="158" t="s">
        <v>1215</v>
      </c>
      <c r="I18" s="158" t="s">
        <v>1215</v>
      </c>
      <c r="J18" s="158" t="s">
        <v>1215</v>
      </c>
      <c r="K18" s="158" t="s">
        <v>1215</v>
      </c>
      <c r="L18" s="158" t="s">
        <v>1215</v>
      </c>
      <c r="M18" s="158" t="s">
        <v>1215</v>
      </c>
      <c r="N18" s="158" t="s">
        <v>1215</v>
      </c>
      <c r="O18" s="158" t="s">
        <v>1215</v>
      </c>
      <c r="P18" s="158" t="s">
        <v>1215</v>
      </c>
      <c r="Q18" s="158" t="s">
        <v>1215</v>
      </c>
      <c r="R18" s="158" t="s">
        <v>1215</v>
      </c>
      <c r="S18" s="158" t="s">
        <v>1215</v>
      </c>
      <c r="T18" s="158" t="s">
        <v>1215</v>
      </c>
      <c r="U18" s="158" t="s">
        <v>1215</v>
      </c>
    </row>
    <row r="19" spans="1:27" ht="15" thickBot="1" x14ac:dyDescent="0.4">
      <c r="A19" s="10" t="s">
        <v>80</v>
      </c>
      <c r="B19" s="47" t="s">
        <v>73</v>
      </c>
      <c r="C19" s="132" t="s">
        <v>1204</v>
      </c>
      <c r="D19" s="130" t="str">
        <f>SUBSTITUTE(A19," ","") &amp; "_" &amp; SUBSTITUTE(IF(B19="N/A","",B19&amp; "_")," ","")  &amp; SUBSTITUTE(SUBSTITUTE(C19," ",""),"/","")</f>
        <v>LegalNameInformation_Prefix</v>
      </c>
      <c r="E19" s="40" t="str">
        <f>D19&amp;2</f>
        <v>LegalNameInformation_Prefix2</v>
      </c>
      <c r="F19" s="145"/>
      <c r="G19" s="5" t="s">
        <v>1205</v>
      </c>
      <c r="H19" s="5" t="s">
        <v>1236</v>
      </c>
      <c r="I19" s="5" t="s">
        <v>1205</v>
      </c>
      <c r="J19" s="5" t="s">
        <v>1236</v>
      </c>
      <c r="K19" s="5" t="s">
        <v>1205</v>
      </c>
      <c r="L19" s="5" t="s">
        <v>1236</v>
      </c>
      <c r="M19" s="5" t="s">
        <v>1205</v>
      </c>
      <c r="N19" s="5" t="s">
        <v>1236</v>
      </c>
      <c r="O19" s="5" t="s">
        <v>1205</v>
      </c>
      <c r="P19" s="5" t="s">
        <v>1236</v>
      </c>
      <c r="Q19" s="5" t="s">
        <v>1205</v>
      </c>
      <c r="R19" s="5" t="s">
        <v>1236</v>
      </c>
      <c r="S19" s="5" t="s">
        <v>1205</v>
      </c>
      <c r="T19" s="5" t="s">
        <v>1236</v>
      </c>
      <c r="U19" s="5" t="s">
        <v>1205</v>
      </c>
      <c r="V19" s="158"/>
      <c r="W19" s="158"/>
      <c r="X19" s="158"/>
      <c r="Y19" s="158"/>
      <c r="Z19" s="158"/>
      <c r="AA19" s="158"/>
    </row>
    <row r="20" spans="1:27" ht="15" thickBot="1" x14ac:dyDescent="0.4">
      <c r="A20" s="10" t="s">
        <v>80</v>
      </c>
      <c r="B20" s="47" t="s">
        <v>73</v>
      </c>
      <c r="C20" s="220" t="s">
        <v>84</v>
      </c>
      <c r="D20" s="130" t="str">
        <f t="shared" si="0"/>
        <v>LegalNameInformation_GivenName</v>
      </c>
      <c r="E20" s="40" t="str">
        <f t="shared" si="1"/>
        <v>LegalNameInformation_GivenName2</v>
      </c>
      <c r="F20" s="145" t="s">
        <v>85</v>
      </c>
      <c r="G20" s="199" t="s">
        <v>1237</v>
      </c>
      <c r="H20" s="199" t="s">
        <v>1238</v>
      </c>
      <c r="I20" s="199" t="s">
        <v>1239</v>
      </c>
      <c r="J20" s="199" t="s">
        <v>1240</v>
      </c>
      <c r="K20" s="199" t="s">
        <v>1241</v>
      </c>
      <c r="L20" s="199" t="s">
        <v>1254</v>
      </c>
      <c r="M20" s="199" t="s">
        <v>1255</v>
      </c>
      <c r="N20" s="199" t="s">
        <v>1256</v>
      </c>
      <c r="O20" s="199" t="s">
        <v>1257</v>
      </c>
      <c r="P20" s="199" t="s">
        <v>1258</v>
      </c>
      <c r="Q20" s="199" t="s">
        <v>1259</v>
      </c>
      <c r="R20" s="199" t="s">
        <v>1260</v>
      </c>
      <c r="S20" s="199" t="s">
        <v>1261</v>
      </c>
      <c r="T20" s="199" t="s">
        <v>1262</v>
      </c>
      <c r="U20" s="199" t="s">
        <v>1263</v>
      </c>
      <c r="V20" s="219"/>
      <c r="W20" s="158"/>
      <c r="X20" s="158"/>
      <c r="Y20" s="158"/>
      <c r="Z20" s="158"/>
      <c r="AA20" s="158"/>
    </row>
    <row r="21" spans="1:27" ht="15" thickBot="1" x14ac:dyDescent="0.4">
      <c r="A21" s="10" t="s">
        <v>80</v>
      </c>
      <c r="B21" s="47" t="s">
        <v>73</v>
      </c>
      <c r="C21" s="220" t="s">
        <v>1198</v>
      </c>
      <c r="D21" s="130" t="str">
        <f t="shared" si="0"/>
        <v>LegalNameInformation_FamilyName</v>
      </c>
      <c r="E21" s="40" t="str">
        <f t="shared" si="1"/>
        <v>LegalNameInformation_FamilyName2</v>
      </c>
      <c r="F21" s="145" t="s">
        <v>85</v>
      </c>
      <c r="G21" s="199" t="s">
        <v>1410</v>
      </c>
      <c r="H21" s="199" t="s">
        <v>1410</v>
      </c>
      <c r="I21" s="199" t="s">
        <v>1410</v>
      </c>
      <c r="J21" s="199" t="s">
        <v>1410</v>
      </c>
      <c r="K21" s="199" t="s">
        <v>1410</v>
      </c>
      <c r="L21" s="199" t="s">
        <v>1410</v>
      </c>
      <c r="M21" s="199" t="s">
        <v>1410</v>
      </c>
      <c r="N21" s="199" t="s">
        <v>1410</v>
      </c>
      <c r="O21" s="199" t="s">
        <v>1410</v>
      </c>
      <c r="P21" s="199" t="s">
        <v>1410</v>
      </c>
      <c r="Q21" s="199" t="s">
        <v>1410</v>
      </c>
      <c r="R21" s="199" t="s">
        <v>1410</v>
      </c>
      <c r="S21" s="199" t="s">
        <v>1410</v>
      </c>
      <c r="T21" s="199" t="s">
        <v>1410</v>
      </c>
      <c r="U21" s="199" t="s">
        <v>1410</v>
      </c>
    </row>
    <row r="22" spans="1:27" ht="15" thickBot="1" x14ac:dyDescent="0.4">
      <c r="A22" s="10" t="s">
        <v>86</v>
      </c>
      <c r="B22" s="47" t="s">
        <v>87</v>
      </c>
      <c r="C22" s="132" t="s">
        <v>88</v>
      </c>
      <c r="D22" s="130" t="str">
        <f t="shared" si="0"/>
        <v>ContactInformation_Phone_PhoneNumber</v>
      </c>
      <c r="E22" s="40" t="str">
        <f t="shared" si="1"/>
        <v>ContactInformation_Phone_PhoneNumber2</v>
      </c>
      <c r="F22" s="146"/>
      <c r="G22" s="153">
        <v>861240232</v>
      </c>
      <c r="H22" s="153">
        <v>861240232</v>
      </c>
      <c r="I22" s="153">
        <v>861240232</v>
      </c>
      <c r="J22" s="153">
        <v>861240232</v>
      </c>
      <c r="K22" s="153">
        <v>861240232</v>
      </c>
      <c r="L22" s="153">
        <v>861240232</v>
      </c>
      <c r="M22" s="153">
        <v>861240232</v>
      </c>
      <c r="N22" s="153">
        <v>861240232</v>
      </c>
      <c r="O22" s="153">
        <v>861240232</v>
      </c>
      <c r="P22" s="153">
        <v>861240232</v>
      </c>
      <c r="Q22" s="153">
        <v>861240232</v>
      </c>
      <c r="R22" s="153">
        <v>861240232</v>
      </c>
      <c r="S22" s="153">
        <v>861240232</v>
      </c>
      <c r="T22" s="153">
        <v>861240232</v>
      </c>
      <c r="U22" s="153">
        <v>861240232</v>
      </c>
    </row>
    <row r="23" spans="1:27" ht="15" thickBot="1" x14ac:dyDescent="0.4">
      <c r="A23" s="10" t="s">
        <v>86</v>
      </c>
      <c r="B23" s="47" t="s">
        <v>87</v>
      </c>
      <c r="C23" s="132" t="s">
        <v>89</v>
      </c>
      <c r="D23" s="130" t="str">
        <f t="shared" si="0"/>
        <v>ContactInformation_Phone_PhoneDevice</v>
      </c>
      <c r="E23" s="40" t="str">
        <f t="shared" si="1"/>
        <v>ContactInformation_Phone_PhoneDevice2</v>
      </c>
      <c r="F23" s="146"/>
      <c r="G23" s="153" t="s">
        <v>91</v>
      </c>
      <c r="H23" s="153" t="s">
        <v>91</v>
      </c>
      <c r="I23" s="153" t="s">
        <v>91</v>
      </c>
      <c r="J23" s="153" t="s">
        <v>91</v>
      </c>
      <c r="K23" s="153" t="s">
        <v>91</v>
      </c>
      <c r="L23" s="153" t="s">
        <v>91</v>
      </c>
      <c r="M23" s="153" t="s">
        <v>91</v>
      </c>
      <c r="N23" s="153" t="s">
        <v>91</v>
      </c>
      <c r="O23" s="153" t="s">
        <v>91</v>
      </c>
      <c r="P23" s="153" t="s">
        <v>91</v>
      </c>
      <c r="Q23" s="153" t="s">
        <v>91</v>
      </c>
      <c r="R23" s="153" t="s">
        <v>91</v>
      </c>
      <c r="S23" s="153" t="s">
        <v>91</v>
      </c>
      <c r="T23" s="153" t="s">
        <v>91</v>
      </c>
      <c r="U23" s="153" t="s">
        <v>91</v>
      </c>
    </row>
    <row r="24" spans="1:27" ht="15" thickBot="1" x14ac:dyDescent="0.4">
      <c r="A24" s="10" t="s">
        <v>86</v>
      </c>
      <c r="B24" s="47" t="s">
        <v>87</v>
      </c>
      <c r="C24" s="132" t="s">
        <v>92</v>
      </c>
      <c r="D24" s="130" t="str">
        <f t="shared" si="0"/>
        <v>ContactInformation_Phone_Type</v>
      </c>
      <c r="E24" s="40" t="str">
        <f t="shared" si="1"/>
        <v>ContactInformation_Phone_Type2</v>
      </c>
      <c r="F24" s="146"/>
      <c r="G24" s="153" t="s">
        <v>94</v>
      </c>
      <c r="H24" s="153" t="s">
        <v>94</v>
      </c>
      <c r="I24" s="153" t="s">
        <v>94</v>
      </c>
      <c r="J24" s="153" t="s">
        <v>94</v>
      </c>
      <c r="K24" s="153" t="s">
        <v>94</v>
      </c>
      <c r="L24" s="153" t="s">
        <v>94</v>
      </c>
      <c r="M24" s="153" t="s">
        <v>94</v>
      </c>
      <c r="N24" s="153" t="s">
        <v>94</v>
      </c>
      <c r="O24" s="153" t="s">
        <v>94</v>
      </c>
      <c r="P24" s="153" t="s">
        <v>94</v>
      </c>
      <c r="Q24" s="153" t="s">
        <v>94</v>
      </c>
      <c r="R24" s="153" t="s">
        <v>94</v>
      </c>
      <c r="S24" s="153" t="s">
        <v>94</v>
      </c>
      <c r="T24" s="153" t="s">
        <v>94</v>
      </c>
      <c r="U24" s="153" t="s">
        <v>94</v>
      </c>
    </row>
    <row r="25" spans="1:27" s="29" customFormat="1" ht="15" thickBot="1" x14ac:dyDescent="0.4">
      <c r="A25" s="179" t="s">
        <v>86</v>
      </c>
      <c r="B25" s="180" t="s">
        <v>95</v>
      </c>
      <c r="C25" s="132" t="s">
        <v>96</v>
      </c>
      <c r="D25" s="181" t="str">
        <f t="shared" si="0"/>
        <v>ContactInformation_Address_EffectiveDate</v>
      </c>
      <c r="E25" s="182" t="str">
        <f t="shared" si="1"/>
        <v>ContactInformation_Address_EffectiveDate2</v>
      </c>
      <c r="F25" s="186"/>
      <c r="G25" s="200">
        <f ca="1">TODAY()-31</f>
        <v>45724</v>
      </c>
      <c r="H25" s="200">
        <f t="shared" ref="H25:U25" ca="1" si="2">TODAY()-31</f>
        <v>45724</v>
      </c>
      <c r="I25" s="200">
        <f t="shared" ca="1" si="2"/>
        <v>45724</v>
      </c>
      <c r="J25" s="200">
        <f t="shared" ca="1" si="2"/>
        <v>45724</v>
      </c>
      <c r="K25" s="200">
        <f t="shared" ca="1" si="2"/>
        <v>45724</v>
      </c>
      <c r="L25" s="200">
        <f t="shared" ca="1" si="2"/>
        <v>45724</v>
      </c>
      <c r="M25" s="200">
        <f t="shared" ca="1" si="2"/>
        <v>45724</v>
      </c>
      <c r="N25" s="200">
        <f t="shared" ca="1" si="2"/>
        <v>45724</v>
      </c>
      <c r="O25" s="200">
        <f t="shared" ca="1" si="2"/>
        <v>45724</v>
      </c>
      <c r="P25" s="200">
        <f t="shared" ca="1" si="2"/>
        <v>45724</v>
      </c>
      <c r="Q25" s="200">
        <f t="shared" ca="1" si="2"/>
        <v>45724</v>
      </c>
      <c r="R25" s="200">
        <f t="shared" ca="1" si="2"/>
        <v>45724</v>
      </c>
      <c r="S25" s="200">
        <f t="shared" ca="1" si="2"/>
        <v>45724</v>
      </c>
      <c r="T25" s="200">
        <f t="shared" ca="1" si="2"/>
        <v>45724</v>
      </c>
      <c r="U25" s="200">
        <f t="shared" ca="1" si="2"/>
        <v>45724</v>
      </c>
    </row>
    <row r="26" spans="1:27" ht="15" thickBot="1" x14ac:dyDescent="0.4">
      <c r="A26" s="10" t="s">
        <v>86</v>
      </c>
      <c r="B26" s="47" t="s">
        <v>95</v>
      </c>
      <c r="C26" s="132" t="s">
        <v>81</v>
      </c>
      <c r="D26" s="130" t="str">
        <f t="shared" si="0"/>
        <v>ContactInformation_Address_Country</v>
      </c>
      <c r="E26" s="40" t="str">
        <f t="shared" si="1"/>
        <v>ContactInformation_Address_Country2</v>
      </c>
      <c r="F26" s="146"/>
      <c r="G26" s="158" t="s">
        <v>1215</v>
      </c>
      <c r="H26" s="158" t="s">
        <v>1215</v>
      </c>
      <c r="I26" s="158" t="s">
        <v>1215</v>
      </c>
      <c r="J26" s="158" t="s">
        <v>1215</v>
      </c>
      <c r="K26" s="158" t="s">
        <v>1215</v>
      </c>
      <c r="L26" s="158" t="s">
        <v>1215</v>
      </c>
      <c r="M26" s="158" t="s">
        <v>1215</v>
      </c>
      <c r="N26" s="158" t="s">
        <v>1215</v>
      </c>
      <c r="O26" s="158" t="s">
        <v>1215</v>
      </c>
      <c r="P26" s="158" t="s">
        <v>1215</v>
      </c>
      <c r="Q26" s="158" t="s">
        <v>1215</v>
      </c>
      <c r="R26" s="158" t="s">
        <v>1215</v>
      </c>
      <c r="S26" s="158" t="s">
        <v>1215</v>
      </c>
      <c r="T26" s="158" t="s">
        <v>1215</v>
      </c>
      <c r="U26" s="158" t="s">
        <v>1215</v>
      </c>
    </row>
    <row r="27" spans="1:27" ht="15" thickBot="1" x14ac:dyDescent="0.4">
      <c r="A27" s="10" t="s">
        <v>86</v>
      </c>
      <c r="B27" s="47" t="s">
        <v>95</v>
      </c>
      <c r="C27" s="132" t="s">
        <v>1229</v>
      </c>
      <c r="D27" s="130" t="str">
        <f>SUBSTITUTE(A27," ","") &amp; "_" &amp; SUBSTITUTE(IF(B27="N/A","",B27&amp; "_")," ","")  &amp; SUBSTITUTE(SUBSTITUTE(C27," ",""),"/","")</f>
        <v>ContactInformation_Address_County</v>
      </c>
      <c r="E27" s="40" t="str">
        <f>D27&amp;2</f>
        <v>ContactInformation_Address_County2</v>
      </c>
      <c r="F27" s="146"/>
      <c r="G27" s="201" t="s">
        <v>1216</v>
      </c>
      <c r="H27" s="201" t="s">
        <v>1216</v>
      </c>
      <c r="I27" s="201" t="s">
        <v>1216</v>
      </c>
      <c r="J27" s="201" t="s">
        <v>1216</v>
      </c>
      <c r="K27" s="201" t="s">
        <v>1216</v>
      </c>
      <c r="L27" s="201" t="s">
        <v>1216</v>
      </c>
      <c r="M27" s="201" t="s">
        <v>1216</v>
      </c>
      <c r="N27" s="201" t="s">
        <v>1216</v>
      </c>
      <c r="O27" s="201" t="s">
        <v>1216</v>
      </c>
      <c r="P27" s="201" t="s">
        <v>1216</v>
      </c>
      <c r="Q27" s="201" t="s">
        <v>1216</v>
      </c>
      <c r="R27" s="201" t="s">
        <v>1216</v>
      </c>
      <c r="S27" s="201" t="s">
        <v>1216</v>
      </c>
      <c r="T27" s="201" t="s">
        <v>1216</v>
      </c>
      <c r="U27" s="201" t="s">
        <v>1216</v>
      </c>
    </row>
    <row r="28" spans="1:27" ht="15" thickBot="1" x14ac:dyDescent="0.4">
      <c r="A28" s="10" t="s">
        <v>86</v>
      </c>
      <c r="B28" s="47" t="s">
        <v>95</v>
      </c>
      <c r="C28" s="132" t="s">
        <v>1222</v>
      </c>
      <c r="D28" s="130" t="str">
        <f t="shared" si="0"/>
        <v>ContactInformation_Address_AdressLine1</v>
      </c>
      <c r="E28" s="40" t="str">
        <f t="shared" si="1"/>
        <v>ContactInformation_Address_AdressLine12</v>
      </c>
      <c r="F28" s="146"/>
      <c r="G28" s="201" t="s">
        <v>97</v>
      </c>
      <c r="H28" s="201" t="s">
        <v>97</v>
      </c>
      <c r="I28" s="201" t="s">
        <v>97</v>
      </c>
      <c r="J28" s="201" t="s">
        <v>97</v>
      </c>
      <c r="K28" s="201" t="s">
        <v>97</v>
      </c>
      <c r="L28" s="201" t="s">
        <v>97</v>
      </c>
      <c r="M28" s="201" t="s">
        <v>97</v>
      </c>
      <c r="N28" s="201" t="s">
        <v>97</v>
      </c>
      <c r="O28" s="201" t="s">
        <v>97</v>
      </c>
      <c r="P28" s="201" t="s">
        <v>97</v>
      </c>
      <c r="Q28" s="201" t="s">
        <v>97</v>
      </c>
      <c r="R28" s="201" t="s">
        <v>97</v>
      </c>
      <c r="S28" s="201" t="s">
        <v>97</v>
      </c>
      <c r="T28" s="201" t="s">
        <v>97</v>
      </c>
      <c r="U28" s="201" t="s">
        <v>97</v>
      </c>
    </row>
    <row r="29" spans="1:27" ht="15" thickBot="1" x14ac:dyDescent="0.4">
      <c r="A29" s="10" t="s">
        <v>86</v>
      </c>
      <c r="B29" s="47" t="s">
        <v>95</v>
      </c>
      <c r="C29" s="132" t="s">
        <v>1223</v>
      </c>
      <c r="D29" s="130" t="str">
        <f t="shared" si="0"/>
        <v>ContactInformation_Address_AdressLine2</v>
      </c>
      <c r="E29" s="40" t="str">
        <f t="shared" si="1"/>
        <v>ContactInformation_Address_AdressLine22</v>
      </c>
      <c r="F29" s="146"/>
      <c r="G29" s="153">
        <v>38</v>
      </c>
      <c r="H29" s="153">
        <v>38</v>
      </c>
      <c r="I29" s="153">
        <v>38</v>
      </c>
      <c r="J29" s="153">
        <v>38</v>
      </c>
      <c r="K29" s="153">
        <v>38</v>
      </c>
      <c r="L29" s="153">
        <v>38</v>
      </c>
      <c r="M29" s="153">
        <v>38</v>
      </c>
      <c r="N29" s="153">
        <v>38</v>
      </c>
      <c r="O29" s="153">
        <v>38</v>
      </c>
      <c r="P29" s="153">
        <v>38</v>
      </c>
      <c r="Q29" s="153">
        <v>38</v>
      </c>
      <c r="R29" s="153">
        <v>38</v>
      </c>
      <c r="S29" s="153">
        <v>38</v>
      </c>
      <c r="T29" s="153">
        <v>38</v>
      </c>
      <c r="U29" s="153">
        <v>38</v>
      </c>
    </row>
    <row r="30" spans="1:27" ht="15" thickBot="1" x14ac:dyDescent="0.4">
      <c r="A30" s="10" t="s">
        <v>86</v>
      </c>
      <c r="B30" s="47" t="s">
        <v>95</v>
      </c>
      <c r="C30" s="132" t="s">
        <v>1227</v>
      </c>
      <c r="D30" s="130" t="str">
        <f>SUBSTITUTE(A30," ","") &amp; "_" &amp; SUBSTITUTE(IF(B30="N/A","",B30&amp; "_")," ","")  &amp; SUBSTITUTE(SUBSTITUTE(C30," ",""),"/","")</f>
        <v>ContactInformation_Address_AdressLine3</v>
      </c>
      <c r="E30" s="40" t="str">
        <f>D30&amp;2</f>
        <v>ContactInformation_Address_AdressLine32</v>
      </c>
      <c r="F30" s="146"/>
      <c r="G30" s="153" t="s">
        <v>1216</v>
      </c>
      <c r="H30" s="153" t="s">
        <v>1216</v>
      </c>
      <c r="I30" s="153" t="s">
        <v>1216</v>
      </c>
      <c r="J30" s="153" t="s">
        <v>1216</v>
      </c>
      <c r="K30" s="153" t="s">
        <v>1216</v>
      </c>
      <c r="L30" s="153" t="s">
        <v>1216</v>
      </c>
      <c r="M30" s="153" t="s">
        <v>1216</v>
      </c>
      <c r="N30" s="153" t="s">
        <v>1216</v>
      </c>
      <c r="O30" s="153" t="s">
        <v>1216</v>
      </c>
      <c r="P30" s="153" t="s">
        <v>1216</v>
      </c>
      <c r="Q30" s="153" t="s">
        <v>1216</v>
      </c>
      <c r="R30" s="153" t="s">
        <v>1216</v>
      </c>
      <c r="S30" s="153" t="s">
        <v>1216</v>
      </c>
      <c r="T30" s="153" t="s">
        <v>1216</v>
      </c>
      <c r="U30" s="153" t="s">
        <v>1216</v>
      </c>
    </row>
    <row r="31" spans="1:27" ht="15" thickBot="1" x14ac:dyDescent="0.4">
      <c r="A31" s="10" t="s">
        <v>86</v>
      </c>
      <c r="B31" s="47" t="s">
        <v>95</v>
      </c>
      <c r="C31" s="132" t="s">
        <v>98</v>
      </c>
      <c r="D31" s="130" t="str">
        <f t="shared" si="0"/>
        <v>ContactInformation_Address_PostalCode</v>
      </c>
      <c r="E31" s="40" t="str">
        <f t="shared" si="1"/>
        <v>ContactInformation_Address_PostalCode2</v>
      </c>
      <c r="F31" s="146"/>
      <c r="G31" s="202" t="s">
        <v>1214</v>
      </c>
      <c r="H31" s="202" t="s">
        <v>1214</v>
      </c>
      <c r="I31" s="202" t="s">
        <v>1214</v>
      </c>
      <c r="J31" s="202" t="s">
        <v>1214</v>
      </c>
      <c r="K31" s="202" t="s">
        <v>1214</v>
      </c>
      <c r="L31" s="202" t="s">
        <v>1214</v>
      </c>
      <c r="M31" s="202" t="s">
        <v>1214</v>
      </c>
      <c r="N31" s="202" t="s">
        <v>1214</v>
      </c>
      <c r="O31" s="202" t="s">
        <v>1214</v>
      </c>
      <c r="P31" s="202" t="s">
        <v>1214</v>
      </c>
      <c r="Q31" s="202" t="s">
        <v>1214</v>
      </c>
      <c r="R31" s="202" t="s">
        <v>1214</v>
      </c>
      <c r="S31" s="202" t="s">
        <v>1214</v>
      </c>
      <c r="T31" s="202" t="s">
        <v>1214</v>
      </c>
      <c r="U31" s="202" t="s">
        <v>1214</v>
      </c>
    </row>
    <row r="32" spans="1:27" ht="15" thickBot="1" x14ac:dyDescent="0.4">
      <c r="A32" s="10" t="s">
        <v>86</v>
      </c>
      <c r="B32" s="47" t="s">
        <v>95</v>
      </c>
      <c r="C32" s="132" t="s">
        <v>99</v>
      </c>
      <c r="D32" s="130" t="str">
        <f t="shared" si="0"/>
        <v>ContactInformation_Address_City</v>
      </c>
      <c r="E32" s="40" t="str">
        <f t="shared" si="1"/>
        <v>ContactInformation_Address_City2</v>
      </c>
      <c r="F32" s="146"/>
      <c r="G32" s="153" t="s">
        <v>1216</v>
      </c>
      <c r="H32" s="153" t="s">
        <v>1216</v>
      </c>
      <c r="I32" s="153" t="s">
        <v>1216</v>
      </c>
      <c r="J32" s="153" t="s">
        <v>1216</v>
      </c>
      <c r="K32" s="153" t="s">
        <v>1216</v>
      </c>
      <c r="L32" s="153" t="s">
        <v>1216</v>
      </c>
      <c r="M32" s="153" t="s">
        <v>1216</v>
      </c>
      <c r="N32" s="153" t="s">
        <v>1216</v>
      </c>
      <c r="O32" s="153" t="s">
        <v>1216</v>
      </c>
      <c r="P32" s="153" t="s">
        <v>1216</v>
      </c>
      <c r="Q32" s="153" t="s">
        <v>1216</v>
      </c>
      <c r="R32" s="153" t="s">
        <v>1216</v>
      </c>
      <c r="S32" s="153" t="s">
        <v>1216</v>
      </c>
      <c r="T32" s="153" t="s">
        <v>1216</v>
      </c>
      <c r="U32" s="153" t="s">
        <v>1216</v>
      </c>
    </row>
    <row r="33" spans="1:21" ht="15" thickBot="1" x14ac:dyDescent="0.4">
      <c r="A33" s="10" t="s">
        <v>86</v>
      </c>
      <c r="B33" s="47" t="s">
        <v>95</v>
      </c>
      <c r="C33" s="132" t="s">
        <v>92</v>
      </c>
      <c r="D33" s="130" t="str">
        <f t="shared" si="0"/>
        <v>ContactInformation_Address_Type</v>
      </c>
      <c r="E33" s="40" t="str">
        <f t="shared" si="1"/>
        <v>ContactInformation_Address_Type2</v>
      </c>
      <c r="F33" s="146"/>
      <c r="G33" s="153" t="s">
        <v>94</v>
      </c>
      <c r="H33" s="153" t="s">
        <v>94</v>
      </c>
      <c r="I33" s="153" t="s">
        <v>94</v>
      </c>
      <c r="J33" s="153" t="s">
        <v>94</v>
      </c>
      <c r="K33" s="153" t="s">
        <v>94</v>
      </c>
      <c r="L33" s="153" t="s">
        <v>94</v>
      </c>
      <c r="M33" s="153" t="s">
        <v>94</v>
      </c>
      <c r="N33" s="153" t="s">
        <v>94</v>
      </c>
      <c r="O33" s="153" t="s">
        <v>94</v>
      </c>
      <c r="P33" s="153" t="s">
        <v>94</v>
      </c>
      <c r="Q33" s="153" t="s">
        <v>94</v>
      </c>
      <c r="R33" s="153" t="s">
        <v>94</v>
      </c>
      <c r="S33" s="153" t="s">
        <v>94</v>
      </c>
      <c r="T33" s="153" t="s">
        <v>94</v>
      </c>
      <c r="U33" s="153" t="s">
        <v>94</v>
      </c>
    </row>
    <row r="34" spans="1:21" ht="15" thickBot="1" x14ac:dyDescent="0.4">
      <c r="A34" s="10" t="s">
        <v>86</v>
      </c>
      <c r="B34" s="47" t="s">
        <v>95</v>
      </c>
      <c r="C34" s="132" t="s">
        <v>103</v>
      </c>
      <c r="D34" s="130" t="str">
        <f t="shared" si="0"/>
        <v>ContactInformation_Address_UseFor</v>
      </c>
      <c r="E34" s="40" t="str">
        <f t="shared" si="1"/>
        <v>ContactInformation_Address_UseFor2</v>
      </c>
      <c r="F34" s="146" t="s">
        <v>104</v>
      </c>
      <c r="G34" s="203" t="s">
        <v>105</v>
      </c>
      <c r="H34" s="203" t="s">
        <v>105</v>
      </c>
      <c r="I34" s="203" t="s">
        <v>105</v>
      </c>
      <c r="J34" s="203" t="s">
        <v>105</v>
      </c>
      <c r="K34" s="203" t="s">
        <v>105</v>
      </c>
      <c r="L34" s="203" t="s">
        <v>105</v>
      </c>
      <c r="M34" s="203" t="s">
        <v>105</v>
      </c>
      <c r="N34" s="203" t="s">
        <v>105</v>
      </c>
      <c r="O34" s="203" t="s">
        <v>105</v>
      </c>
      <c r="P34" s="203" t="s">
        <v>105</v>
      </c>
      <c r="Q34" s="203" t="s">
        <v>105</v>
      </c>
      <c r="R34" s="203" t="s">
        <v>105</v>
      </c>
      <c r="S34" s="203" t="s">
        <v>105</v>
      </c>
      <c r="T34" s="203" t="s">
        <v>105</v>
      </c>
      <c r="U34" s="203" t="s">
        <v>105</v>
      </c>
    </row>
    <row r="35" spans="1:21" ht="15" thickBot="1" x14ac:dyDescent="0.4">
      <c r="A35" s="10" t="s">
        <v>86</v>
      </c>
      <c r="B35" s="47" t="s">
        <v>106</v>
      </c>
      <c r="C35" s="132" t="s">
        <v>107</v>
      </c>
      <c r="D35" s="130" t="str">
        <f t="shared" si="0"/>
        <v>ContactInformation_Email_EmailAddress</v>
      </c>
      <c r="E35" s="40" t="str">
        <f t="shared" si="1"/>
        <v>ContactInformation_Email_EmailAddress2</v>
      </c>
      <c r="F35" s="146"/>
      <c r="G35" s="161" t="s">
        <v>108</v>
      </c>
      <c r="H35" s="161" t="s">
        <v>108</v>
      </c>
      <c r="I35" s="161" t="s">
        <v>108</v>
      </c>
      <c r="J35" s="161" t="s">
        <v>108</v>
      </c>
      <c r="K35" s="161" t="s">
        <v>108</v>
      </c>
      <c r="L35" s="161" t="s">
        <v>108</v>
      </c>
      <c r="M35" s="161" t="s">
        <v>108</v>
      </c>
      <c r="N35" s="161" t="s">
        <v>108</v>
      </c>
      <c r="O35" s="161" t="s">
        <v>108</v>
      </c>
      <c r="P35" s="161" t="s">
        <v>108</v>
      </c>
      <c r="Q35" s="161" t="s">
        <v>108</v>
      </c>
      <c r="R35" s="161" t="s">
        <v>108</v>
      </c>
      <c r="S35" s="161" t="s">
        <v>108</v>
      </c>
      <c r="T35" s="161" t="s">
        <v>108</v>
      </c>
      <c r="U35" s="161" t="s">
        <v>108</v>
      </c>
    </row>
    <row r="36" spans="1:21" ht="15" thickBot="1" x14ac:dyDescent="0.4">
      <c r="A36" s="10" t="s">
        <v>86</v>
      </c>
      <c r="B36" s="47" t="s">
        <v>106</v>
      </c>
      <c r="C36" s="132" t="s">
        <v>92</v>
      </c>
      <c r="D36" s="130" t="str">
        <f t="shared" si="0"/>
        <v>ContactInformation_Email_Type</v>
      </c>
      <c r="E36" s="40" t="str">
        <f t="shared" si="1"/>
        <v>ContactInformation_Email_Type2</v>
      </c>
      <c r="F36" s="146"/>
      <c r="G36" s="153" t="s">
        <v>94</v>
      </c>
      <c r="H36" s="153" t="s">
        <v>94</v>
      </c>
      <c r="I36" s="153" t="s">
        <v>94</v>
      </c>
      <c r="J36" s="153" t="s">
        <v>94</v>
      </c>
      <c r="K36" s="153" t="s">
        <v>94</v>
      </c>
      <c r="L36" s="153" t="s">
        <v>94</v>
      </c>
      <c r="M36" s="153" t="s">
        <v>94</v>
      </c>
      <c r="N36" s="153" t="s">
        <v>94</v>
      </c>
      <c r="O36" s="153" t="s">
        <v>94</v>
      </c>
      <c r="P36" s="153" t="s">
        <v>94</v>
      </c>
      <c r="Q36" s="153" t="s">
        <v>94</v>
      </c>
      <c r="R36" s="153" t="s">
        <v>94</v>
      </c>
      <c r="S36" s="153" t="s">
        <v>94</v>
      </c>
      <c r="T36" s="153" t="s">
        <v>94</v>
      </c>
      <c r="U36" s="153" t="s">
        <v>94</v>
      </c>
    </row>
    <row r="37" spans="1:21" s="29" customFormat="1" ht="15" thickBot="1" x14ac:dyDescent="0.4">
      <c r="A37" s="179" t="s">
        <v>110</v>
      </c>
      <c r="B37" s="180" t="s">
        <v>73</v>
      </c>
      <c r="C37" s="210" t="s">
        <v>111</v>
      </c>
      <c r="D37" s="181" t="str">
        <f t="shared" si="0"/>
        <v>JobDetails_HireDate</v>
      </c>
      <c r="E37" s="182" t="str">
        <f t="shared" si="1"/>
        <v>JobDetails_HireDate2</v>
      </c>
      <c r="F37" s="186"/>
      <c r="G37" s="211">
        <f ca="1">G25</f>
        <v>45724</v>
      </c>
      <c r="H37" s="211">
        <f ca="1">H25</f>
        <v>45724</v>
      </c>
      <c r="I37" s="211">
        <f ca="1">I25</f>
        <v>45724</v>
      </c>
      <c r="J37" s="211">
        <f ca="1">J25</f>
        <v>45724</v>
      </c>
      <c r="K37" s="211">
        <f ca="1">K25</f>
        <v>45724</v>
      </c>
      <c r="L37" s="211">
        <f t="shared" ref="L37:U37" ca="1" si="3">L25</f>
        <v>45724</v>
      </c>
      <c r="M37" s="211">
        <f t="shared" ca="1" si="3"/>
        <v>45724</v>
      </c>
      <c r="N37" s="211">
        <f t="shared" ca="1" si="3"/>
        <v>45724</v>
      </c>
      <c r="O37" s="211">
        <f t="shared" ca="1" si="3"/>
        <v>45724</v>
      </c>
      <c r="P37" s="211">
        <f t="shared" ca="1" si="3"/>
        <v>45724</v>
      </c>
      <c r="Q37" s="211">
        <f t="shared" ca="1" si="3"/>
        <v>45724</v>
      </c>
      <c r="R37" s="211">
        <f t="shared" ca="1" si="3"/>
        <v>45724</v>
      </c>
      <c r="S37" s="211">
        <f t="shared" ca="1" si="3"/>
        <v>45724</v>
      </c>
      <c r="T37" s="211">
        <f t="shared" ca="1" si="3"/>
        <v>45724</v>
      </c>
      <c r="U37" s="211">
        <f t="shared" ca="1" si="3"/>
        <v>45724</v>
      </c>
    </row>
    <row r="38" spans="1:21" s="29" customFormat="1" ht="15" thickBot="1" x14ac:dyDescent="0.4">
      <c r="A38" s="179" t="s">
        <v>1232</v>
      </c>
      <c r="B38" s="180" t="s">
        <v>73</v>
      </c>
      <c r="C38" s="132" t="s">
        <v>1233</v>
      </c>
      <c r="D38" s="181" t="str">
        <f>SUBSTITUTE(A38," ","") &amp; "_" &amp; SUBSTITUTE(IF(B38="N/A","",B38&amp; "_")," ","")  &amp; SUBSTITUTE(SUBSTITUTE(C38," ",""),"/","")</f>
        <v>ManageProbationPeriod_ProbationEndDate</v>
      </c>
      <c r="E38" s="182" t="str">
        <f>D38&amp;2</f>
        <v>ManageProbationPeriod_ProbationEndDate2</v>
      </c>
      <c r="F38" s="186"/>
      <c r="G38" s="200">
        <f ca="1">G37+90</f>
        <v>45814</v>
      </c>
      <c r="H38" s="200">
        <f ca="1">H37+90</f>
        <v>45814</v>
      </c>
      <c r="I38" s="200">
        <f ca="1">I37+90</f>
        <v>45814</v>
      </c>
      <c r="J38" s="200">
        <f ca="1">J37+90</f>
        <v>45814</v>
      </c>
      <c r="K38" s="200">
        <f ca="1">K37+90</f>
        <v>45814</v>
      </c>
      <c r="L38" s="200">
        <f t="shared" ref="L38:U38" ca="1" si="4">L37+90</f>
        <v>45814</v>
      </c>
      <c r="M38" s="200">
        <f t="shared" ca="1" si="4"/>
        <v>45814</v>
      </c>
      <c r="N38" s="200">
        <f t="shared" ca="1" si="4"/>
        <v>45814</v>
      </c>
      <c r="O38" s="200">
        <f t="shared" ca="1" si="4"/>
        <v>45814</v>
      </c>
      <c r="P38" s="200">
        <f ca="1">P37+90</f>
        <v>45814</v>
      </c>
      <c r="Q38" s="200">
        <f t="shared" ca="1" si="4"/>
        <v>45814</v>
      </c>
      <c r="R38" s="200">
        <f t="shared" ca="1" si="4"/>
        <v>45814</v>
      </c>
      <c r="S38" s="200">
        <f t="shared" ca="1" si="4"/>
        <v>45814</v>
      </c>
      <c r="T38" s="200">
        <f t="shared" ca="1" si="4"/>
        <v>45814</v>
      </c>
      <c r="U38" s="200">
        <f t="shared" ca="1" si="4"/>
        <v>45814</v>
      </c>
    </row>
    <row r="39" spans="1:21" ht="15" thickBot="1" x14ac:dyDescent="0.4">
      <c r="A39" s="10" t="s">
        <v>110</v>
      </c>
      <c r="B39" s="47" t="s">
        <v>73</v>
      </c>
      <c r="C39" s="132" t="s">
        <v>113</v>
      </c>
      <c r="D39" s="130" t="str">
        <f t="shared" si="0"/>
        <v>JobDetails_Reason</v>
      </c>
      <c r="E39" s="40" t="str">
        <f t="shared" si="1"/>
        <v>JobDetails_Reason2</v>
      </c>
      <c r="F39" s="146"/>
      <c r="G39" s="153" t="s">
        <v>30</v>
      </c>
      <c r="H39" s="153" t="s">
        <v>30</v>
      </c>
      <c r="I39" s="153" t="s">
        <v>30</v>
      </c>
      <c r="J39" s="153" t="s">
        <v>30</v>
      </c>
      <c r="K39" s="153" t="s">
        <v>30</v>
      </c>
      <c r="L39" s="153" t="s">
        <v>30</v>
      </c>
      <c r="M39" s="153" t="s">
        <v>30</v>
      </c>
      <c r="N39" s="153" t="s">
        <v>30</v>
      </c>
      <c r="O39" s="153" t="s">
        <v>30</v>
      </c>
      <c r="P39" s="153" t="s">
        <v>30</v>
      </c>
      <c r="Q39" s="153" t="s">
        <v>30</v>
      </c>
      <c r="R39" s="153" t="s">
        <v>30</v>
      </c>
      <c r="S39" s="153" t="s">
        <v>30</v>
      </c>
      <c r="T39" s="153" t="s">
        <v>30</v>
      </c>
      <c r="U39" s="153" t="s">
        <v>30</v>
      </c>
    </row>
    <row r="40" spans="1:21" ht="20.149999999999999" customHeight="1" thickBot="1" x14ac:dyDescent="0.4">
      <c r="A40" s="10" t="s">
        <v>110</v>
      </c>
      <c r="B40" s="47" t="s">
        <v>73</v>
      </c>
      <c r="C40" s="220" t="s">
        <v>115</v>
      </c>
      <c r="D40" s="130" t="str">
        <f t="shared" si="0"/>
        <v>JobDetails_Position</v>
      </c>
      <c r="E40" s="40" t="str">
        <f t="shared" si="1"/>
        <v>JobDetails_Position2</v>
      </c>
      <c r="F40" s="147" t="s">
        <v>117</v>
      </c>
      <c r="G40" s="212" t="s">
        <v>36</v>
      </c>
      <c r="H40" s="212" t="s">
        <v>1428</v>
      </c>
      <c r="I40" s="212" t="s">
        <v>1409</v>
      </c>
      <c r="J40" s="212" t="s">
        <v>1433</v>
      </c>
      <c r="K40" s="212" t="s">
        <v>1436</v>
      </c>
      <c r="L40" s="212" t="s">
        <v>1439</v>
      </c>
      <c r="M40" s="212" t="s">
        <v>1442</v>
      </c>
      <c r="N40" s="212" t="s">
        <v>36</v>
      </c>
      <c r="O40" s="212" t="s">
        <v>1447</v>
      </c>
      <c r="P40" s="212" t="s">
        <v>36</v>
      </c>
      <c r="Q40" s="212" t="s">
        <v>1452</v>
      </c>
      <c r="R40" s="212" t="s">
        <v>1455</v>
      </c>
      <c r="S40" s="212" t="s">
        <v>36</v>
      </c>
      <c r="T40" s="212" t="s">
        <v>36</v>
      </c>
      <c r="U40" s="212" t="s">
        <v>36</v>
      </c>
    </row>
    <row r="41" spans="1:21" ht="15" thickBot="1" x14ac:dyDescent="0.4">
      <c r="A41" s="10" t="s">
        <v>110</v>
      </c>
      <c r="B41" s="47" t="s">
        <v>73</v>
      </c>
      <c r="C41" s="132" t="s">
        <v>118</v>
      </c>
      <c r="D41" s="130" t="str">
        <f t="shared" si="0"/>
        <v>JobDetails_EmployeeType</v>
      </c>
      <c r="E41" s="40" t="str">
        <f t="shared" si="1"/>
        <v>JobDetails_EmployeeType2</v>
      </c>
      <c r="F41" s="145" t="s">
        <v>120</v>
      </c>
      <c r="G41" s="45" t="s">
        <v>121</v>
      </c>
      <c r="H41" s="45" t="s">
        <v>122</v>
      </c>
      <c r="I41" s="45" t="s">
        <v>121</v>
      </c>
      <c r="J41" s="45" t="s">
        <v>122</v>
      </c>
      <c r="K41" s="45" t="s">
        <v>121</v>
      </c>
      <c r="L41" s="45" t="s">
        <v>1267</v>
      </c>
      <c r="M41" s="45" t="s">
        <v>121</v>
      </c>
      <c r="N41" s="45" t="s">
        <v>122</v>
      </c>
      <c r="O41" s="45" t="s">
        <v>121</v>
      </c>
      <c r="P41" s="45" t="s">
        <v>122</v>
      </c>
      <c r="Q41" s="45" t="s">
        <v>121</v>
      </c>
      <c r="R41" s="45" t="s">
        <v>122</v>
      </c>
      <c r="S41" s="45" t="s">
        <v>121</v>
      </c>
      <c r="T41" s="45" t="s">
        <v>122</v>
      </c>
      <c r="U41" s="45" t="s">
        <v>1267</v>
      </c>
    </row>
    <row r="42" spans="1:21" ht="15" thickBot="1" x14ac:dyDescent="0.4">
      <c r="A42" s="213" t="s">
        <v>110</v>
      </c>
      <c r="B42" s="214" t="s">
        <v>73</v>
      </c>
      <c r="C42" s="132" t="s">
        <v>123</v>
      </c>
      <c r="D42" s="215" t="str">
        <f t="shared" si="0"/>
        <v>JobDetails_JobProfile</v>
      </c>
      <c r="E42" s="216" t="str">
        <f t="shared" si="1"/>
        <v>JobDetails_JobProfile2</v>
      </c>
      <c r="F42" s="217"/>
      <c r="G42" s="204" t="s">
        <v>125</v>
      </c>
      <c r="H42" s="204" t="s">
        <v>128</v>
      </c>
      <c r="I42" s="204" t="s">
        <v>127</v>
      </c>
      <c r="J42" s="204" t="s">
        <v>1264</v>
      </c>
      <c r="K42" s="204" t="s">
        <v>1266</v>
      </c>
      <c r="L42" s="204" t="s">
        <v>297</v>
      </c>
      <c r="M42" s="204" t="s">
        <v>1268</v>
      </c>
      <c r="N42" s="204" t="s">
        <v>1269</v>
      </c>
      <c r="O42" s="204" t="s">
        <v>294</v>
      </c>
      <c r="P42" s="204" t="s">
        <v>125</v>
      </c>
      <c r="Q42" s="204" t="s">
        <v>128</v>
      </c>
      <c r="R42" s="204" t="s">
        <v>127</v>
      </c>
      <c r="S42" s="204" t="s">
        <v>125</v>
      </c>
      <c r="T42" s="204" t="s">
        <v>1269</v>
      </c>
      <c r="U42" s="204" t="s">
        <v>126</v>
      </c>
    </row>
    <row r="43" spans="1:21" ht="15" thickBot="1" x14ac:dyDescent="0.4">
      <c r="A43" s="213" t="s">
        <v>110</v>
      </c>
      <c r="B43" s="214" t="s">
        <v>73</v>
      </c>
      <c r="C43" s="132" t="s">
        <v>130</v>
      </c>
      <c r="D43" s="215" t="str">
        <f t="shared" si="0"/>
        <v>JobDetails_TimeType</v>
      </c>
      <c r="E43" s="216" t="str">
        <f t="shared" si="1"/>
        <v>JobDetails_TimeType2</v>
      </c>
      <c r="F43" s="217"/>
      <c r="G43" s="45" t="s">
        <v>132</v>
      </c>
      <c r="H43" s="45" t="s">
        <v>132</v>
      </c>
      <c r="I43" s="45" t="s">
        <v>132</v>
      </c>
      <c r="J43" s="45" t="s">
        <v>133</v>
      </c>
      <c r="K43" s="45" t="s">
        <v>132</v>
      </c>
      <c r="L43" s="45" t="s">
        <v>132</v>
      </c>
      <c r="M43" s="45" t="s">
        <v>132</v>
      </c>
      <c r="N43" s="45" t="s">
        <v>133</v>
      </c>
      <c r="O43" s="45" t="s">
        <v>133</v>
      </c>
      <c r="P43" s="45" t="s">
        <v>133</v>
      </c>
      <c r="Q43" s="45" t="s">
        <v>133</v>
      </c>
      <c r="R43" s="45" t="s">
        <v>133</v>
      </c>
      <c r="S43" s="45" t="s">
        <v>133</v>
      </c>
      <c r="T43" s="45" t="s">
        <v>133</v>
      </c>
      <c r="U43" s="45" t="s">
        <v>133</v>
      </c>
    </row>
    <row r="44" spans="1:21" ht="15" thickBot="1" x14ac:dyDescent="0.4">
      <c r="A44" s="10" t="s">
        <v>110</v>
      </c>
      <c r="B44" s="47" t="s">
        <v>73</v>
      </c>
      <c r="C44" s="132" t="s">
        <v>134</v>
      </c>
      <c r="D44" s="130" t="str">
        <f t="shared" si="0"/>
        <v>JobDetails_Location</v>
      </c>
      <c r="E44" s="40" t="str">
        <f t="shared" si="1"/>
        <v>JobDetails_Location2</v>
      </c>
      <c r="F44" s="145"/>
      <c r="G44" s="205" t="s">
        <v>1217</v>
      </c>
      <c r="H44" s="205" t="s">
        <v>1217</v>
      </c>
      <c r="I44" s="205" t="s">
        <v>1217</v>
      </c>
      <c r="J44" s="205" t="s">
        <v>1217</v>
      </c>
      <c r="K44" s="205" t="s">
        <v>1217</v>
      </c>
      <c r="L44" s="205" t="s">
        <v>1217</v>
      </c>
      <c r="M44" s="205" t="s">
        <v>1217</v>
      </c>
      <c r="N44" s="205" t="s">
        <v>1217</v>
      </c>
      <c r="O44" s="205" t="s">
        <v>1217</v>
      </c>
      <c r="P44" s="205" t="s">
        <v>1217</v>
      </c>
      <c r="Q44" s="205" t="s">
        <v>1217</v>
      </c>
      <c r="R44" s="205" t="s">
        <v>1217</v>
      </c>
      <c r="S44" s="205" t="s">
        <v>1217</v>
      </c>
      <c r="T44" s="205" t="s">
        <v>1217</v>
      </c>
      <c r="U44" s="205" t="s">
        <v>1217</v>
      </c>
    </row>
    <row r="45" spans="1:21" ht="15" thickBot="1" x14ac:dyDescent="0.4">
      <c r="A45" s="10" t="s">
        <v>110</v>
      </c>
      <c r="B45" s="47" t="s">
        <v>73</v>
      </c>
      <c r="C45" s="132" t="s">
        <v>1199</v>
      </c>
      <c r="D45" s="130" t="str">
        <f>SUBSTITUTE(A45," ","") &amp; "_" &amp; SUBSTITUTE(IF(B45="N/A","",B45&amp; "_")," ","")  &amp; SUBSTITUTE(SUBSTITUTE(C45," ",""),"/","")</f>
        <v>JobDetails_PayRateType</v>
      </c>
      <c r="E45" s="40" t="str">
        <f t="shared" si="1"/>
        <v>JobDetails_PayRateType2</v>
      </c>
      <c r="F45" s="145"/>
      <c r="G45" s="158" t="s">
        <v>1242</v>
      </c>
      <c r="H45" s="158" t="s">
        <v>167</v>
      </c>
      <c r="I45" s="158" t="s">
        <v>167</v>
      </c>
      <c r="J45" s="158" t="s">
        <v>167</v>
      </c>
      <c r="K45" s="158" t="s">
        <v>167</v>
      </c>
      <c r="L45" s="158" t="s">
        <v>167</v>
      </c>
      <c r="M45" s="158" t="s">
        <v>167</v>
      </c>
      <c r="N45" s="158" t="s">
        <v>1242</v>
      </c>
      <c r="O45" s="158" t="s">
        <v>167</v>
      </c>
      <c r="P45" s="158" t="s">
        <v>1242</v>
      </c>
      <c r="Q45" s="158" t="s">
        <v>167</v>
      </c>
      <c r="R45" s="158" t="s">
        <v>167</v>
      </c>
      <c r="S45" s="158" t="s">
        <v>1242</v>
      </c>
      <c r="T45" s="158" t="s">
        <v>1242</v>
      </c>
      <c r="U45" s="158" t="s">
        <v>1242</v>
      </c>
    </row>
    <row r="46" spans="1:21" ht="15" thickBot="1" x14ac:dyDescent="0.4">
      <c r="A46" s="213" t="s">
        <v>110</v>
      </c>
      <c r="B46" s="214" t="s">
        <v>136</v>
      </c>
      <c r="C46" s="132" t="s">
        <v>137</v>
      </c>
      <c r="D46" s="215" t="str">
        <f t="shared" si="0"/>
        <v>JobDetails_AdditionalInformation_ScheduledWeeklyHours</v>
      </c>
      <c r="E46" s="216" t="str">
        <f t="shared" si="1"/>
        <v>JobDetails_AdditionalInformation_ScheduledWeeklyHours2</v>
      </c>
      <c r="F46" s="217"/>
      <c r="G46" s="206">
        <v>37.5</v>
      </c>
      <c r="H46" s="206">
        <v>40</v>
      </c>
      <c r="I46" s="206">
        <v>40</v>
      </c>
      <c r="J46" s="206">
        <v>25</v>
      </c>
      <c r="K46" s="206">
        <v>40</v>
      </c>
      <c r="L46" s="206">
        <v>40</v>
      </c>
      <c r="M46" s="206">
        <v>40</v>
      </c>
      <c r="N46" s="206">
        <v>20</v>
      </c>
      <c r="O46" s="206">
        <v>21</v>
      </c>
      <c r="P46" s="206">
        <v>11.5</v>
      </c>
      <c r="Q46" s="206">
        <v>25</v>
      </c>
      <c r="R46" s="206">
        <v>21</v>
      </c>
      <c r="S46" s="206">
        <v>15</v>
      </c>
      <c r="T46" s="206">
        <v>11.5</v>
      </c>
      <c r="U46" s="206">
        <v>21</v>
      </c>
    </row>
    <row r="47" spans="1:21" s="29" customFormat="1" ht="15" thickBot="1" x14ac:dyDescent="0.4">
      <c r="A47" s="179" t="s">
        <v>110</v>
      </c>
      <c r="B47" s="180" t="s">
        <v>136</v>
      </c>
      <c r="C47" s="132" t="s">
        <v>138</v>
      </c>
      <c r="D47" s="181" t="str">
        <f t="shared" si="0"/>
        <v>JobDetails_AdditionalInformation_AdditionalJobClassifications</v>
      </c>
      <c r="E47" s="182" t="str">
        <f t="shared" si="1"/>
        <v>JobDetails_AdditionalInformation_AdditionalJobClassifications2</v>
      </c>
      <c r="F47" s="183"/>
      <c r="G47" s="158">
        <v>508</v>
      </c>
      <c r="H47" s="158">
        <v>508</v>
      </c>
      <c r="I47" s="158">
        <v>508</v>
      </c>
      <c r="J47" s="158">
        <v>508</v>
      </c>
      <c r="K47" s="158">
        <v>508</v>
      </c>
      <c r="L47" s="158">
        <v>508</v>
      </c>
      <c r="M47" s="158">
        <v>508</v>
      </c>
      <c r="N47" s="158">
        <v>508</v>
      </c>
      <c r="O47" s="158">
        <v>508</v>
      </c>
      <c r="P47" s="158">
        <v>508</v>
      </c>
      <c r="Q47" s="158">
        <v>508</v>
      </c>
      <c r="R47" s="158">
        <v>508</v>
      </c>
      <c r="S47" s="158">
        <v>508</v>
      </c>
      <c r="T47" s="158">
        <v>508</v>
      </c>
      <c r="U47" s="158">
        <v>508</v>
      </c>
    </row>
    <row r="48" spans="1:21" ht="15" thickBot="1" x14ac:dyDescent="0.4">
      <c r="A48" s="10" t="s">
        <v>110</v>
      </c>
      <c r="B48" s="47" t="s">
        <v>136</v>
      </c>
      <c r="C48" s="132" t="s">
        <v>139</v>
      </c>
      <c r="D48" s="130" t="str">
        <f t="shared" si="0"/>
        <v>JobDetails_AdditionalInformation_WorkShift</v>
      </c>
      <c r="E48" s="40" t="str">
        <f t="shared" si="1"/>
        <v>JobDetails_AdditionalInformation_WorkShift2</v>
      </c>
      <c r="F48" s="145"/>
      <c r="G48" t="s">
        <v>1218</v>
      </c>
      <c r="H48" t="s">
        <v>1218</v>
      </c>
      <c r="I48" t="s">
        <v>1218</v>
      </c>
      <c r="J48" t="s">
        <v>1218</v>
      </c>
      <c r="K48" t="s">
        <v>1218</v>
      </c>
      <c r="L48" t="s">
        <v>1218</v>
      </c>
      <c r="M48" t="s">
        <v>1218</v>
      </c>
      <c r="N48" t="s">
        <v>1218</v>
      </c>
      <c r="O48" t="s">
        <v>1218</v>
      </c>
      <c r="P48" t="s">
        <v>1218</v>
      </c>
      <c r="Q48" t="s">
        <v>1218</v>
      </c>
      <c r="R48" t="s">
        <v>1218</v>
      </c>
      <c r="S48" t="s">
        <v>1218</v>
      </c>
      <c r="T48" t="s">
        <v>1218</v>
      </c>
      <c r="U48" t="s">
        <v>1218</v>
      </c>
    </row>
    <row r="49" spans="1:28" s="197" customFormat="1" ht="17.149999999999999" customHeight="1" thickBot="1" x14ac:dyDescent="0.4">
      <c r="A49" s="192" t="s">
        <v>110</v>
      </c>
      <c r="B49" s="193" t="s">
        <v>136</v>
      </c>
      <c r="C49" s="210" t="s">
        <v>144</v>
      </c>
      <c r="D49" s="194" t="str">
        <f t="shared" si="0"/>
        <v>JobDetails_AdditionalInformation_EndEmploymentDate</v>
      </c>
      <c r="E49" s="195" t="str">
        <f t="shared" si="1"/>
        <v>JobDetails_AdditionalInformation_EndEmploymentDate2</v>
      </c>
      <c r="F49" s="196" t="s">
        <v>146</v>
      </c>
      <c r="G49" s="207" t="s">
        <v>73</v>
      </c>
      <c r="H49" s="207">
        <f ca="1">H37+365</f>
        <v>46089</v>
      </c>
      <c r="I49" s="207" t="s">
        <v>73</v>
      </c>
      <c r="J49" s="207">
        <f ca="1">J37+365</f>
        <v>46089</v>
      </c>
      <c r="K49" s="207" t="s">
        <v>73</v>
      </c>
      <c r="L49" s="207" t="s">
        <v>73</v>
      </c>
      <c r="M49" s="207" t="s">
        <v>73</v>
      </c>
      <c r="N49" s="207">
        <f ca="1">N37+365</f>
        <v>46089</v>
      </c>
      <c r="O49" s="207" t="s">
        <v>73</v>
      </c>
      <c r="P49" s="207">
        <f ca="1">P37+365</f>
        <v>46089</v>
      </c>
      <c r="Q49" s="207" t="s">
        <v>73</v>
      </c>
      <c r="R49" s="207">
        <f ca="1">R37+365</f>
        <v>46089</v>
      </c>
      <c r="S49" s="207" t="s">
        <v>73</v>
      </c>
      <c r="T49" s="207">
        <f ca="1">T37+365</f>
        <v>46089</v>
      </c>
      <c r="U49" s="207" t="s">
        <v>73</v>
      </c>
    </row>
    <row r="50" spans="1:28" ht="15" thickBot="1" x14ac:dyDescent="0.4">
      <c r="A50" s="10" t="s">
        <v>110</v>
      </c>
      <c r="B50" s="47" t="s">
        <v>136</v>
      </c>
      <c r="C50" s="132" t="s">
        <v>147</v>
      </c>
      <c r="D50" s="130" t="str">
        <f t="shared" si="0"/>
        <v>JobDetails_AdditionalInformation_Comments</v>
      </c>
      <c r="E50" s="40" t="str">
        <f t="shared" si="1"/>
        <v>JobDetails_AdditionalInformation_Comments2</v>
      </c>
      <c r="F50" s="146"/>
      <c r="G50" s="153" t="s">
        <v>148</v>
      </c>
      <c r="H50" s="153" t="s">
        <v>148</v>
      </c>
      <c r="I50" s="153" t="s">
        <v>148</v>
      </c>
      <c r="J50" s="153" t="s">
        <v>148</v>
      </c>
      <c r="K50" s="153" t="s">
        <v>148</v>
      </c>
      <c r="L50" s="153" t="s">
        <v>148</v>
      </c>
      <c r="M50" s="153" t="s">
        <v>148</v>
      </c>
      <c r="N50" s="153" t="s">
        <v>148</v>
      </c>
      <c r="O50" s="153" t="s">
        <v>148</v>
      </c>
      <c r="P50" s="153" t="s">
        <v>148</v>
      </c>
      <c r="Q50" s="153" t="s">
        <v>148</v>
      </c>
      <c r="R50" s="153" t="s">
        <v>148</v>
      </c>
      <c r="S50" s="153" t="s">
        <v>148</v>
      </c>
      <c r="T50" s="153" t="s">
        <v>148</v>
      </c>
      <c r="U50" s="153" t="s">
        <v>148</v>
      </c>
    </row>
    <row r="51" spans="1:28" ht="15" thickBot="1" x14ac:dyDescent="0.4">
      <c r="A51" s="10" t="s">
        <v>149</v>
      </c>
      <c r="B51" s="47" t="s">
        <v>73</v>
      </c>
      <c r="C51" s="132" t="s">
        <v>150</v>
      </c>
      <c r="D51" s="130" t="str">
        <f t="shared" si="0"/>
        <v>ChangeOrganizationAssignments_CostCenter</v>
      </c>
      <c r="E51" s="40" t="str">
        <f t="shared" si="1"/>
        <v>ChangeOrganizationAssignments_CostCenter2</v>
      </c>
      <c r="F51" s="146"/>
      <c r="G51" s="153" t="s">
        <v>1210</v>
      </c>
      <c r="H51" s="153" t="s">
        <v>1234</v>
      </c>
      <c r="I51" s="153" t="s">
        <v>1234</v>
      </c>
      <c r="J51" s="153" t="s">
        <v>1234</v>
      </c>
      <c r="K51" s="153" t="s">
        <v>1234</v>
      </c>
      <c r="L51" s="153" t="s">
        <v>1234</v>
      </c>
      <c r="M51" s="153" t="s">
        <v>1234</v>
      </c>
      <c r="N51" s="153" t="s">
        <v>1210</v>
      </c>
      <c r="O51" s="153" t="s">
        <v>1234</v>
      </c>
      <c r="P51" s="153" t="s">
        <v>1210</v>
      </c>
      <c r="Q51" s="153" t="s">
        <v>1234</v>
      </c>
      <c r="R51" s="153" t="s">
        <v>1234</v>
      </c>
      <c r="S51" s="153" t="s">
        <v>1210</v>
      </c>
      <c r="T51" s="153" t="s">
        <v>1210</v>
      </c>
      <c r="U51" s="153" t="s">
        <v>1210</v>
      </c>
    </row>
    <row r="52" spans="1:28" ht="15" thickBot="1" x14ac:dyDescent="0.4">
      <c r="A52" s="10" t="s">
        <v>149</v>
      </c>
      <c r="B52" s="47" t="s">
        <v>73</v>
      </c>
      <c r="C52" s="132" t="s">
        <v>152</v>
      </c>
      <c r="D52" s="130" t="str">
        <f t="shared" si="0"/>
        <v>ChangeOrganizationAssignments_DepartmentSection</v>
      </c>
      <c r="E52" s="40" t="str">
        <f t="shared" si="1"/>
        <v>ChangeOrganizationAssignments_DepartmentSection2</v>
      </c>
      <c r="F52" s="146"/>
      <c r="G52" s="208" t="s">
        <v>1213</v>
      </c>
      <c r="H52" s="209">
        <v>251</v>
      </c>
      <c r="I52" s="209">
        <v>251</v>
      </c>
      <c r="J52" s="209" t="s">
        <v>1265</v>
      </c>
      <c r="K52" s="209">
        <v>251</v>
      </c>
      <c r="L52" s="209">
        <v>251</v>
      </c>
      <c r="M52" s="209">
        <v>251</v>
      </c>
      <c r="N52" s="208" t="s">
        <v>1213</v>
      </c>
      <c r="O52" s="209">
        <v>251</v>
      </c>
      <c r="P52" s="208" t="s">
        <v>1270</v>
      </c>
      <c r="Q52" s="209">
        <v>251</v>
      </c>
      <c r="R52" s="209">
        <v>251</v>
      </c>
      <c r="S52" s="208" t="s">
        <v>1272</v>
      </c>
      <c r="T52" s="208" t="s">
        <v>1271</v>
      </c>
      <c r="U52" s="208" t="s">
        <v>1273</v>
      </c>
    </row>
    <row r="53" spans="1:28" ht="15" thickBot="1" x14ac:dyDescent="0.4">
      <c r="A53" s="35" t="s">
        <v>177</v>
      </c>
      <c r="B53" s="47" t="s">
        <v>178</v>
      </c>
      <c r="C53" s="132" t="s">
        <v>179</v>
      </c>
      <c r="D53" s="130" t="str">
        <f t="shared" ref="D53:D65" si="5">SUBSTITUTE(A53," ","") &amp; "_" &amp; SUBSTITUTE(IF(B53="N/A","",B53&amp; "_")," ","")  &amp; SUBSTITUTE(SUBSTITUTE(C53," ",""),"/","")</f>
        <v>ChangeMyGovernmentIDs_NationalIDs_Country1</v>
      </c>
      <c r="E53" s="40" t="str">
        <f t="shared" ref="E53:E65" si="6">D53&amp;2</f>
        <v>ChangeMyGovernmentIDs_NationalIDs_Country12</v>
      </c>
      <c r="F53" s="146"/>
      <c r="G53" s="155" t="s">
        <v>1215</v>
      </c>
      <c r="H53" s="155" t="s">
        <v>1215</v>
      </c>
      <c r="I53" s="155" t="s">
        <v>1215</v>
      </c>
      <c r="J53" s="155" t="s">
        <v>1215</v>
      </c>
      <c r="K53" s="155" t="s">
        <v>1215</v>
      </c>
      <c r="L53" s="155" t="s">
        <v>1215</v>
      </c>
      <c r="M53" s="155" t="s">
        <v>1215</v>
      </c>
      <c r="N53" s="155" t="s">
        <v>1215</v>
      </c>
      <c r="O53" s="155" t="s">
        <v>1215</v>
      </c>
      <c r="P53" s="155" t="s">
        <v>1215</v>
      </c>
      <c r="Q53" s="155" t="s">
        <v>1215</v>
      </c>
      <c r="R53" s="155" t="s">
        <v>1215</v>
      </c>
      <c r="S53" s="155" t="s">
        <v>1215</v>
      </c>
      <c r="T53" s="155" t="s">
        <v>1215</v>
      </c>
      <c r="U53" s="155" t="s">
        <v>1215</v>
      </c>
    </row>
    <row r="54" spans="1:28" s="227" customFormat="1" ht="15" thickBot="1" x14ac:dyDescent="0.4">
      <c r="A54" s="221" t="s">
        <v>166</v>
      </c>
      <c r="B54" s="222" t="s">
        <v>73</v>
      </c>
      <c r="C54" s="210" t="s">
        <v>1274</v>
      </c>
      <c r="D54" s="223" t="str">
        <f t="shared" si="5"/>
        <v>ProposeCompensationHire_GradeProfile</v>
      </c>
      <c r="E54" s="224" t="str">
        <f t="shared" si="6"/>
        <v>ProposeCompensationHire_GradeProfile2</v>
      </c>
      <c r="F54" s="225"/>
      <c r="G54" s="226" t="s">
        <v>73</v>
      </c>
      <c r="H54" s="226" t="s">
        <v>73</v>
      </c>
      <c r="I54" s="226" t="s">
        <v>73</v>
      </c>
      <c r="J54" s="226" t="s">
        <v>1276</v>
      </c>
      <c r="K54" s="226" t="s">
        <v>1277</v>
      </c>
      <c r="L54" s="226" t="s">
        <v>73</v>
      </c>
      <c r="M54" s="226" t="s">
        <v>73</v>
      </c>
      <c r="N54" s="226" t="s">
        <v>73</v>
      </c>
      <c r="O54" s="226" t="s">
        <v>1279</v>
      </c>
      <c r="P54" s="226" t="s">
        <v>73</v>
      </c>
      <c r="Q54" s="226" t="s">
        <v>73</v>
      </c>
      <c r="R54" s="226" t="s">
        <v>73</v>
      </c>
      <c r="S54" s="226" t="s">
        <v>73</v>
      </c>
      <c r="T54" s="226" t="s">
        <v>73</v>
      </c>
      <c r="U54" s="226" t="s">
        <v>73</v>
      </c>
    </row>
    <row r="55" spans="1:28" s="227" customFormat="1" ht="15" thickBot="1" x14ac:dyDescent="0.4">
      <c r="A55" s="221" t="s">
        <v>166</v>
      </c>
      <c r="B55" s="222" t="s">
        <v>73</v>
      </c>
      <c r="C55" s="210" t="s">
        <v>1275</v>
      </c>
      <c r="D55" s="223" t="str">
        <f t="shared" si="5"/>
        <v>ProposeCompensationHire_Step</v>
      </c>
      <c r="E55" s="224" t="str">
        <f t="shared" si="6"/>
        <v>ProposeCompensationHire_Step2</v>
      </c>
      <c r="F55" s="225"/>
      <c r="G55" s="226" t="s">
        <v>73</v>
      </c>
      <c r="H55" s="226" t="s">
        <v>73</v>
      </c>
      <c r="I55" s="226" t="s">
        <v>73</v>
      </c>
      <c r="J55" s="226" t="s">
        <v>73</v>
      </c>
      <c r="K55" s="226" t="s">
        <v>1278</v>
      </c>
      <c r="L55" s="226" t="s">
        <v>73</v>
      </c>
      <c r="M55" s="226" t="s">
        <v>73</v>
      </c>
      <c r="N55" s="226" t="s">
        <v>73</v>
      </c>
      <c r="O55" s="226" t="s">
        <v>73</v>
      </c>
      <c r="P55" s="226" t="s">
        <v>73</v>
      </c>
      <c r="Q55" s="226" t="s">
        <v>73</v>
      </c>
      <c r="R55" s="226" t="s">
        <v>73</v>
      </c>
      <c r="S55" s="226" t="s">
        <v>73</v>
      </c>
      <c r="T55" s="226" t="s">
        <v>73</v>
      </c>
      <c r="U55" s="226" t="s">
        <v>73</v>
      </c>
    </row>
    <row r="56" spans="1:28" ht="15" thickBot="1" x14ac:dyDescent="0.4">
      <c r="A56" s="35" t="s">
        <v>177</v>
      </c>
      <c r="B56" s="47" t="s">
        <v>178</v>
      </c>
      <c r="C56" s="132" t="s">
        <v>180</v>
      </c>
      <c r="D56" s="130" t="str">
        <f t="shared" si="5"/>
        <v>ChangeMyGovernmentIDs_NationalIDs_NationalIDType1</v>
      </c>
      <c r="E56" s="40" t="str">
        <f t="shared" si="6"/>
        <v>ChangeMyGovernmentIDs_NationalIDs_NationalIDType12</v>
      </c>
      <c r="F56" s="146"/>
      <c r="G56" s="155" t="s">
        <v>1346</v>
      </c>
      <c r="H56" s="155" t="s">
        <v>1220</v>
      </c>
      <c r="I56" s="155" t="s">
        <v>1220</v>
      </c>
      <c r="J56" s="155" t="s">
        <v>1220</v>
      </c>
      <c r="K56" s="155" t="s">
        <v>1220</v>
      </c>
      <c r="L56" s="155" t="s">
        <v>1220</v>
      </c>
      <c r="M56" s="155" t="s">
        <v>1220</v>
      </c>
      <c r="N56" s="155" t="s">
        <v>1220</v>
      </c>
      <c r="O56" s="155" t="s">
        <v>1220</v>
      </c>
      <c r="P56" s="155" t="s">
        <v>1220</v>
      </c>
      <c r="Q56" s="155" t="s">
        <v>1220</v>
      </c>
      <c r="R56" s="155" t="s">
        <v>1220</v>
      </c>
      <c r="S56" s="155" t="s">
        <v>1220</v>
      </c>
      <c r="T56" s="155" t="s">
        <v>1220</v>
      </c>
      <c r="U56" s="155" t="s">
        <v>1220</v>
      </c>
    </row>
    <row r="57" spans="1:28" s="36" customFormat="1" ht="15" thickBot="1" x14ac:dyDescent="0.4">
      <c r="A57" s="184" t="s">
        <v>177</v>
      </c>
      <c r="B57" s="180" t="s">
        <v>178</v>
      </c>
      <c r="C57" s="7" t="s">
        <v>183</v>
      </c>
      <c r="D57" s="181" t="str">
        <f t="shared" si="5"/>
        <v>ChangeMyGovernmentIDs_NationalIDs_AddEditID1</v>
      </c>
      <c r="E57" s="182" t="str">
        <f t="shared" si="6"/>
        <v>ChangeMyGovernmentIDs_NationalIDs_AddEditID12</v>
      </c>
      <c r="F57" s="191" t="s">
        <v>85</v>
      </c>
      <c r="G57" s="29" t="s">
        <v>1411</v>
      </c>
      <c r="H57" s="29" t="s">
        <v>1412</v>
      </c>
      <c r="I57" s="29" t="s">
        <v>1413</v>
      </c>
      <c r="J57" s="29" t="s">
        <v>1414</v>
      </c>
      <c r="K57" s="29" t="s">
        <v>1415</v>
      </c>
      <c r="L57" s="29" t="s">
        <v>1416</v>
      </c>
      <c r="M57" s="29" t="s">
        <v>1417</v>
      </c>
      <c r="N57" s="29" t="s">
        <v>1418</v>
      </c>
      <c r="O57" s="29" t="s">
        <v>1419</v>
      </c>
      <c r="P57" s="29" t="s">
        <v>1420</v>
      </c>
      <c r="Q57" s="29" t="s">
        <v>1421</v>
      </c>
      <c r="R57" s="29" t="s">
        <v>1422</v>
      </c>
      <c r="S57" s="29" t="s">
        <v>1423</v>
      </c>
      <c r="T57" s="29" t="s">
        <v>1424</v>
      </c>
      <c r="U57" s="29" t="s">
        <v>1425</v>
      </c>
      <c r="V57" s="29"/>
      <c r="W57" s="29"/>
      <c r="X57" s="29"/>
      <c r="Y57" s="29"/>
      <c r="Z57" s="29"/>
      <c r="AA57" s="29"/>
      <c r="AB57" s="29"/>
    </row>
    <row r="58" spans="1:28" ht="15" thickBot="1" x14ac:dyDescent="0.4">
      <c r="A58" s="35" t="s">
        <v>168</v>
      </c>
      <c r="B58" s="47" t="s">
        <v>73</v>
      </c>
      <c r="C58" s="132" t="s">
        <v>169</v>
      </c>
      <c r="D58" s="130" t="str">
        <f t="shared" si="5"/>
        <v>ChangeMyPersonalInformation_Gender</v>
      </c>
      <c r="E58" s="40" t="str">
        <f t="shared" si="6"/>
        <v>ChangeMyPersonalInformation_Gender2</v>
      </c>
      <c r="F58" s="146"/>
      <c r="G58" t="s">
        <v>1211</v>
      </c>
      <c r="H58" t="s">
        <v>1235</v>
      </c>
      <c r="I58" t="s">
        <v>1211</v>
      </c>
      <c r="J58" t="s">
        <v>1235</v>
      </c>
      <c r="K58" t="s">
        <v>1211</v>
      </c>
      <c r="L58" t="s">
        <v>1235</v>
      </c>
      <c r="M58" t="s">
        <v>1211</v>
      </c>
      <c r="N58" t="s">
        <v>1235</v>
      </c>
      <c r="O58" t="s">
        <v>1211</v>
      </c>
      <c r="P58" t="s">
        <v>1235</v>
      </c>
      <c r="Q58" t="s">
        <v>1211</v>
      </c>
      <c r="R58" t="s">
        <v>1235</v>
      </c>
      <c r="S58" t="s">
        <v>1211</v>
      </c>
      <c r="T58" t="s">
        <v>1235</v>
      </c>
      <c r="U58" t="s">
        <v>1211</v>
      </c>
    </row>
    <row r="59" spans="1:28" ht="15" thickBot="1" x14ac:dyDescent="0.4">
      <c r="A59" s="35" t="s">
        <v>168</v>
      </c>
      <c r="B59" s="47" t="s">
        <v>73</v>
      </c>
      <c r="C59" s="132" t="s">
        <v>170</v>
      </c>
      <c r="D59" s="130" t="str">
        <f t="shared" si="5"/>
        <v>ChangeMyPersonalInformation_DateOfBirth</v>
      </c>
      <c r="E59" s="40" t="str">
        <f t="shared" si="6"/>
        <v>ChangeMyPersonalInformation_DateOfBirth2</v>
      </c>
      <c r="F59" s="146"/>
      <c r="G59" s="44">
        <v>35591</v>
      </c>
      <c r="H59" s="44">
        <v>35591</v>
      </c>
      <c r="I59" s="44">
        <v>35591</v>
      </c>
      <c r="J59" s="44">
        <v>35591</v>
      </c>
      <c r="K59" s="44">
        <v>35591</v>
      </c>
      <c r="L59" s="44">
        <v>35591</v>
      </c>
      <c r="M59" s="44">
        <v>35591</v>
      </c>
      <c r="N59" s="44">
        <v>35591</v>
      </c>
      <c r="O59" s="44">
        <v>35591</v>
      </c>
      <c r="P59" s="44">
        <v>35591</v>
      </c>
      <c r="Q59" s="44">
        <v>35591</v>
      </c>
      <c r="R59" s="44">
        <v>35591</v>
      </c>
      <c r="S59" s="44">
        <v>35591</v>
      </c>
      <c r="T59" s="44">
        <v>35591</v>
      </c>
      <c r="U59" s="44">
        <v>35591</v>
      </c>
    </row>
    <row r="60" spans="1:28" ht="15" thickBot="1" x14ac:dyDescent="0.4">
      <c r="A60" s="35" t="s">
        <v>168</v>
      </c>
      <c r="B60" s="47" t="s">
        <v>73</v>
      </c>
      <c r="C60" s="132" t="s">
        <v>1206</v>
      </c>
      <c r="D60" s="130" t="str">
        <f t="shared" si="5"/>
        <v>ChangeMyPersonalInformation_CountryOfBirth</v>
      </c>
      <c r="E60" s="40" t="str">
        <f t="shared" si="6"/>
        <v>ChangeMyPersonalInformation_CountryOfBirth2</v>
      </c>
      <c r="F60" s="146"/>
      <c r="G60" t="s">
        <v>1215</v>
      </c>
      <c r="H60" t="s">
        <v>1347</v>
      </c>
      <c r="I60" t="s">
        <v>1347</v>
      </c>
      <c r="J60" t="s">
        <v>1347</v>
      </c>
      <c r="K60" t="s">
        <v>1347</v>
      </c>
      <c r="L60" t="s">
        <v>1215</v>
      </c>
      <c r="M60" t="s">
        <v>1215</v>
      </c>
      <c r="N60" t="s">
        <v>1215</v>
      </c>
      <c r="O60" t="s">
        <v>1215</v>
      </c>
      <c r="P60" t="s">
        <v>1215</v>
      </c>
      <c r="Q60" t="s">
        <v>1215</v>
      </c>
      <c r="R60" t="s">
        <v>1215</v>
      </c>
      <c r="S60" t="s">
        <v>1215</v>
      </c>
      <c r="T60" t="s">
        <v>1215</v>
      </c>
      <c r="U60" t="s">
        <v>1215</v>
      </c>
    </row>
    <row r="61" spans="1:28" ht="15" thickBot="1" x14ac:dyDescent="0.4">
      <c r="A61" s="35" t="s">
        <v>168</v>
      </c>
      <c r="B61" s="47" t="s">
        <v>73</v>
      </c>
      <c r="C61" s="132" t="s">
        <v>1207</v>
      </c>
      <c r="D61" s="130" t="str">
        <f t="shared" si="5"/>
        <v>ChangeMyPersonalInformation_RegionOfBirth</v>
      </c>
      <c r="E61" s="40" t="str">
        <f t="shared" si="6"/>
        <v>ChangeMyPersonalInformation_RegionOfBirth2</v>
      </c>
      <c r="F61" s="146"/>
      <c r="G61" t="s">
        <v>1216</v>
      </c>
      <c r="H61" t="s">
        <v>1216</v>
      </c>
      <c r="I61" t="s">
        <v>1216</v>
      </c>
      <c r="J61" t="s">
        <v>1216</v>
      </c>
      <c r="K61" t="s">
        <v>1216</v>
      </c>
      <c r="L61" t="s">
        <v>1216</v>
      </c>
      <c r="M61" t="s">
        <v>1216</v>
      </c>
      <c r="N61" t="s">
        <v>1216</v>
      </c>
      <c r="O61" t="s">
        <v>1216</v>
      </c>
      <c r="P61" t="s">
        <v>1216</v>
      </c>
      <c r="Q61" t="s">
        <v>1216</v>
      </c>
      <c r="R61" t="s">
        <v>1216</v>
      </c>
      <c r="S61" t="s">
        <v>1216</v>
      </c>
      <c r="T61" t="s">
        <v>1216</v>
      </c>
      <c r="U61" t="s">
        <v>1216</v>
      </c>
    </row>
    <row r="62" spans="1:28" ht="15" thickBot="1" x14ac:dyDescent="0.4">
      <c r="A62" s="35" t="s">
        <v>168</v>
      </c>
      <c r="B62" s="47" t="s">
        <v>73</v>
      </c>
      <c r="C62" s="132" t="s">
        <v>171</v>
      </c>
      <c r="D62" s="130" t="str">
        <f t="shared" si="5"/>
        <v>ChangeMyPersonalInformation_CityOfBirth</v>
      </c>
      <c r="E62" s="40" t="str">
        <f t="shared" si="6"/>
        <v>ChangeMyPersonalInformation_CityOfBirth2</v>
      </c>
      <c r="F62" s="146"/>
      <c r="G62" s="44" t="s">
        <v>1216</v>
      </c>
      <c r="H62" s="44" t="s">
        <v>1216</v>
      </c>
      <c r="I62" s="44" t="s">
        <v>1216</v>
      </c>
      <c r="J62" s="44" t="s">
        <v>1216</v>
      </c>
      <c r="K62" s="44" t="s">
        <v>1216</v>
      </c>
      <c r="L62" s="44" t="s">
        <v>1216</v>
      </c>
      <c r="M62" s="44" t="s">
        <v>1216</v>
      </c>
      <c r="N62" s="44" t="s">
        <v>1216</v>
      </c>
      <c r="O62" s="44" t="s">
        <v>1216</v>
      </c>
      <c r="P62" s="44" t="s">
        <v>1216</v>
      </c>
      <c r="Q62" s="44" t="s">
        <v>1216</v>
      </c>
      <c r="R62" s="44" t="s">
        <v>1216</v>
      </c>
      <c r="S62" s="44" t="s">
        <v>1216</v>
      </c>
      <c r="T62" s="44" t="s">
        <v>1216</v>
      </c>
      <c r="U62" s="44" t="s">
        <v>1216</v>
      </c>
    </row>
    <row r="63" spans="1:28" ht="15" thickBot="1" x14ac:dyDescent="0.4">
      <c r="A63" s="35" t="s">
        <v>168</v>
      </c>
      <c r="B63" s="47" t="s">
        <v>73</v>
      </c>
      <c r="C63" s="132" t="s">
        <v>172</v>
      </c>
      <c r="D63" s="130" t="str">
        <f t="shared" si="5"/>
        <v>ChangeMyPersonalInformation_MaritalStatus</v>
      </c>
      <c r="E63" s="40" t="str">
        <f t="shared" si="6"/>
        <v>ChangeMyPersonalInformation_MaritalStatus2</v>
      </c>
      <c r="F63" s="146"/>
      <c r="G63" s="44" t="s">
        <v>174</v>
      </c>
      <c r="H63" s="44" t="s">
        <v>174</v>
      </c>
      <c r="I63" s="44" t="s">
        <v>174</v>
      </c>
      <c r="J63" s="44" t="s">
        <v>174</v>
      </c>
      <c r="K63" s="44" t="s">
        <v>174</v>
      </c>
      <c r="L63" s="44" t="s">
        <v>174</v>
      </c>
      <c r="M63" s="44" t="s">
        <v>174</v>
      </c>
      <c r="N63" s="44" t="s">
        <v>174</v>
      </c>
      <c r="O63" s="44" t="s">
        <v>174</v>
      </c>
      <c r="P63" s="44" t="s">
        <v>174</v>
      </c>
      <c r="Q63" s="44" t="s">
        <v>174</v>
      </c>
      <c r="R63" s="44" t="s">
        <v>174</v>
      </c>
      <c r="S63" s="44" t="s">
        <v>174</v>
      </c>
      <c r="T63" s="44" t="s">
        <v>174</v>
      </c>
      <c r="U63" s="44" t="s">
        <v>174</v>
      </c>
    </row>
    <row r="64" spans="1:28" ht="15" thickBot="1" x14ac:dyDescent="0.4">
      <c r="A64" s="35" t="s">
        <v>168</v>
      </c>
      <c r="B64" s="47" t="s">
        <v>73</v>
      </c>
      <c r="C64" s="132" t="s">
        <v>175</v>
      </c>
      <c r="D64" s="130" t="str">
        <f t="shared" si="5"/>
        <v>ChangeMyPersonalInformation_MaritalStatusDate</v>
      </c>
      <c r="E64" s="40" t="str">
        <f t="shared" si="6"/>
        <v>ChangeMyPersonalInformation_MaritalStatusDate2</v>
      </c>
      <c r="F64" s="146"/>
      <c r="G64" s="44" t="s">
        <v>1212</v>
      </c>
      <c r="H64" s="44" t="s">
        <v>1212</v>
      </c>
      <c r="I64" s="44" t="s">
        <v>1212</v>
      </c>
      <c r="J64" s="44" t="s">
        <v>1212</v>
      </c>
      <c r="K64" s="44" t="s">
        <v>1212</v>
      </c>
      <c r="L64" s="44" t="s">
        <v>1212</v>
      </c>
      <c r="M64" s="44" t="s">
        <v>1212</v>
      </c>
      <c r="N64" s="44" t="s">
        <v>1212</v>
      </c>
      <c r="O64" s="44" t="s">
        <v>1212</v>
      </c>
      <c r="P64" s="44" t="s">
        <v>1212</v>
      </c>
      <c r="Q64" s="44" t="s">
        <v>1212</v>
      </c>
      <c r="R64" s="44" t="s">
        <v>1212</v>
      </c>
      <c r="S64" s="44" t="s">
        <v>1212</v>
      </c>
      <c r="T64" s="44" t="s">
        <v>1212</v>
      </c>
      <c r="U64" s="44" t="s">
        <v>1212</v>
      </c>
    </row>
    <row r="65" spans="1:21" s="29" customFormat="1" ht="15" thickBot="1" x14ac:dyDescent="0.4">
      <c r="A65" s="187" t="s">
        <v>168</v>
      </c>
      <c r="B65" s="180" t="s">
        <v>73</v>
      </c>
      <c r="C65" s="132" t="s">
        <v>1228</v>
      </c>
      <c r="D65" s="181" t="str">
        <f t="shared" si="5"/>
        <v>ChangeMyPersonalInformation_RaceEthnicity</v>
      </c>
      <c r="E65" s="182" t="str">
        <f t="shared" si="6"/>
        <v>ChangeMyPersonalInformation_RaceEthnicity2</v>
      </c>
      <c r="F65" s="186"/>
      <c r="G65" s="44" t="s">
        <v>1231</v>
      </c>
      <c r="H65" s="44" t="s">
        <v>1231</v>
      </c>
      <c r="I65" s="44" t="s">
        <v>1231</v>
      </c>
      <c r="J65" s="44" t="s">
        <v>1231</v>
      </c>
      <c r="K65" s="44" t="s">
        <v>1231</v>
      </c>
      <c r="L65" s="44" t="s">
        <v>1231</v>
      </c>
      <c r="M65" s="44" t="s">
        <v>1231</v>
      </c>
      <c r="N65" s="44" t="s">
        <v>1231</v>
      </c>
      <c r="O65" s="44" t="s">
        <v>1231</v>
      </c>
      <c r="P65" s="44" t="s">
        <v>1231</v>
      </c>
      <c r="Q65" s="44" t="s">
        <v>1231</v>
      </c>
      <c r="R65" s="44" t="s">
        <v>1231</v>
      </c>
      <c r="S65" s="44" t="s">
        <v>1231</v>
      </c>
      <c r="T65" s="44" t="s">
        <v>1231</v>
      </c>
      <c r="U65" s="44" t="s">
        <v>1231</v>
      </c>
    </row>
    <row r="66" spans="1:21" ht="15" thickBot="1" x14ac:dyDescent="0.4">
      <c r="A66" s="35" t="s">
        <v>168</v>
      </c>
      <c r="B66" s="47" t="s">
        <v>73</v>
      </c>
      <c r="C66" s="132" t="s">
        <v>176</v>
      </c>
      <c r="D66" s="130" t="str">
        <f t="shared" ref="D66:D71" si="7">SUBSTITUTE(A66," ","") &amp; "_" &amp; SUBSTITUTE(IF(B66="N/A","",B66&amp; "_")," ","")  &amp; SUBSTITUTE(SUBSTITUTE(C66," ",""),"/","")</f>
        <v>ChangeMyPersonalInformation_PrimaryNationality</v>
      </c>
      <c r="E66" s="40" t="str">
        <f t="shared" ref="E66:E71" si="8">D66&amp;2</f>
        <v>ChangeMyPersonalInformation_PrimaryNationality2</v>
      </c>
      <c r="F66" s="146"/>
      <c r="G66" s="44" t="s">
        <v>1215</v>
      </c>
      <c r="H66" s="44" t="s">
        <v>1215</v>
      </c>
      <c r="I66" s="44" t="s">
        <v>1215</v>
      </c>
      <c r="J66" s="44" t="s">
        <v>1215</v>
      </c>
      <c r="K66" s="44" t="s">
        <v>1215</v>
      </c>
      <c r="L66" s="44" t="s">
        <v>1215</v>
      </c>
      <c r="M66" s="44" t="s">
        <v>1215</v>
      </c>
      <c r="N66" s="44" t="s">
        <v>1215</v>
      </c>
      <c r="O66" s="44" t="s">
        <v>1215</v>
      </c>
      <c r="P66" s="44" t="s">
        <v>1215</v>
      </c>
      <c r="Q66" s="44" t="s">
        <v>1215</v>
      </c>
      <c r="R66" s="44" t="s">
        <v>1215</v>
      </c>
      <c r="S66" s="44" t="s">
        <v>1215</v>
      </c>
      <c r="T66" s="44" t="s">
        <v>1215</v>
      </c>
      <c r="U66" s="44" t="s">
        <v>1215</v>
      </c>
    </row>
    <row r="67" spans="1:21" ht="15" thickBot="1" x14ac:dyDescent="0.4">
      <c r="A67" s="10" t="s">
        <v>166</v>
      </c>
      <c r="B67" s="47" t="s">
        <v>73</v>
      </c>
      <c r="C67" s="132" t="s">
        <v>167</v>
      </c>
      <c r="D67" s="130" t="str">
        <f t="shared" si="7"/>
        <v>ProposeCompensationHire_Salary</v>
      </c>
      <c r="E67" s="40" t="str">
        <f t="shared" si="8"/>
        <v>ProposeCompensationHire_Salary2</v>
      </c>
      <c r="F67" s="146"/>
      <c r="G67" s="158" t="s">
        <v>151</v>
      </c>
      <c r="H67" s="158" t="s">
        <v>151</v>
      </c>
      <c r="I67" s="158" t="s">
        <v>151</v>
      </c>
      <c r="J67" s="158" t="s">
        <v>151</v>
      </c>
      <c r="K67" s="158" t="s">
        <v>151</v>
      </c>
      <c r="L67" s="158" t="s">
        <v>151</v>
      </c>
      <c r="M67" s="158" t="s">
        <v>151</v>
      </c>
      <c r="N67" s="158" t="s">
        <v>151</v>
      </c>
      <c r="O67" s="158" t="s">
        <v>151</v>
      </c>
      <c r="P67" s="158" t="s">
        <v>151</v>
      </c>
      <c r="Q67" s="158" t="s">
        <v>151</v>
      </c>
      <c r="R67" s="158" t="s">
        <v>151</v>
      </c>
      <c r="S67" s="158" t="s">
        <v>151</v>
      </c>
      <c r="T67" s="158" t="s">
        <v>151</v>
      </c>
      <c r="U67" s="158" t="s">
        <v>151</v>
      </c>
    </row>
    <row r="68" spans="1:21" ht="15" thickBot="1" x14ac:dyDescent="0.4">
      <c r="A68" s="11" t="s">
        <v>188</v>
      </c>
      <c r="B68" s="47" t="s">
        <v>73</v>
      </c>
      <c r="C68" s="132" t="s">
        <v>1203</v>
      </c>
      <c r="D68" s="130" t="str">
        <f t="shared" si="7"/>
        <v>PaymentElectionOption_BankName</v>
      </c>
      <c r="E68" s="40" t="str">
        <f t="shared" si="8"/>
        <v>PaymentElectionOption_BankName2</v>
      </c>
      <c r="F68" s="146"/>
      <c r="G68" s="155" t="s">
        <v>1219</v>
      </c>
      <c r="H68" s="155" t="s">
        <v>1219</v>
      </c>
      <c r="I68" s="155" t="s">
        <v>1219</v>
      </c>
      <c r="J68" s="155" t="s">
        <v>1219</v>
      </c>
      <c r="K68" s="155" t="s">
        <v>1219</v>
      </c>
      <c r="L68" s="155" t="s">
        <v>1219</v>
      </c>
      <c r="M68" s="155" t="s">
        <v>1219</v>
      </c>
      <c r="N68" s="155" t="s">
        <v>1219</v>
      </c>
      <c r="O68" s="155" t="s">
        <v>1219</v>
      </c>
      <c r="P68" s="155" t="s">
        <v>1219</v>
      </c>
      <c r="Q68" s="155" t="s">
        <v>1219</v>
      </c>
      <c r="R68" s="155" t="s">
        <v>1219</v>
      </c>
      <c r="S68" s="155" t="s">
        <v>1219</v>
      </c>
      <c r="T68" s="155" t="s">
        <v>1219</v>
      </c>
      <c r="U68" s="155" t="s">
        <v>1219</v>
      </c>
    </row>
    <row r="69" spans="1:21" ht="15" thickBot="1" x14ac:dyDescent="0.4">
      <c r="A69" s="11" t="s">
        <v>188</v>
      </c>
      <c r="B69" s="47" t="s">
        <v>73</v>
      </c>
      <c r="C69" s="132" t="s">
        <v>1208</v>
      </c>
      <c r="D69" s="130" t="str">
        <f>SUBSTITUTE(A69," ","") &amp; "_" &amp; SUBSTITUTE(IF(B69="N/A","",B69&amp; "_")," ","")  &amp; SUBSTITUTE(SUBSTITUTE(C69," ",""),"/","")</f>
        <v>PaymentElectionOption_BankIdentificationCode</v>
      </c>
      <c r="E69" s="40" t="str">
        <f>D69&amp;2</f>
        <v>PaymentElectionOption_BankIdentificationCode2</v>
      </c>
      <c r="F69" s="146"/>
      <c r="G69" s="155" t="s">
        <v>1225</v>
      </c>
      <c r="H69" s="155" t="s">
        <v>1225</v>
      </c>
      <c r="I69" s="155" t="s">
        <v>1225</v>
      </c>
      <c r="J69" s="155" t="s">
        <v>1225</v>
      </c>
      <c r="K69" s="155" t="s">
        <v>1225</v>
      </c>
      <c r="L69" s="155" t="s">
        <v>1225</v>
      </c>
      <c r="M69" s="155" t="s">
        <v>1225</v>
      </c>
      <c r="N69" s="155" t="s">
        <v>1225</v>
      </c>
      <c r="O69" s="155" t="s">
        <v>1225</v>
      </c>
      <c r="P69" s="155" t="s">
        <v>1225</v>
      </c>
      <c r="Q69" s="155" t="s">
        <v>1225</v>
      </c>
      <c r="R69" s="155" t="s">
        <v>1225</v>
      </c>
      <c r="S69" s="155" t="s">
        <v>1225</v>
      </c>
      <c r="T69" s="155" t="s">
        <v>1225</v>
      </c>
      <c r="U69" s="155" t="s">
        <v>1225</v>
      </c>
    </row>
    <row r="70" spans="1:21" ht="15" thickBot="1" x14ac:dyDescent="0.4">
      <c r="A70" s="11" t="s">
        <v>188</v>
      </c>
      <c r="B70" s="47" t="s">
        <v>73</v>
      </c>
      <c r="C70" s="132" t="s">
        <v>1209</v>
      </c>
      <c r="D70" s="130" t="str">
        <f t="shared" si="7"/>
        <v>PaymentElectionOption_IBAN</v>
      </c>
      <c r="E70" s="40" t="str">
        <f t="shared" si="8"/>
        <v>PaymentElectionOption_IBAN2</v>
      </c>
      <c r="F70" s="146"/>
      <c r="G70" s="155" t="s">
        <v>1224</v>
      </c>
      <c r="H70" s="155" t="s">
        <v>1224</v>
      </c>
      <c r="I70" s="155" t="s">
        <v>1224</v>
      </c>
      <c r="J70" s="155" t="s">
        <v>1224</v>
      </c>
      <c r="K70" s="155" t="s">
        <v>1224</v>
      </c>
      <c r="L70" s="155" t="s">
        <v>1224</v>
      </c>
      <c r="M70" s="155" t="s">
        <v>1224</v>
      </c>
      <c r="N70" s="155" t="s">
        <v>1224</v>
      </c>
      <c r="O70" s="155" t="s">
        <v>1224</v>
      </c>
      <c r="P70" s="155" t="s">
        <v>1224</v>
      </c>
      <c r="Q70" s="155" t="s">
        <v>1224</v>
      </c>
      <c r="R70" s="155" t="s">
        <v>1224</v>
      </c>
      <c r="S70" s="155" t="s">
        <v>1224</v>
      </c>
      <c r="T70" s="155" t="s">
        <v>1224</v>
      </c>
      <c r="U70" s="155" t="s">
        <v>1224</v>
      </c>
    </row>
    <row r="71" spans="1:21" x14ac:dyDescent="0.35">
      <c r="A71" s="11" t="s">
        <v>188</v>
      </c>
      <c r="B71" s="47" t="s">
        <v>73</v>
      </c>
      <c r="C71" s="132" t="s">
        <v>189</v>
      </c>
      <c r="D71" s="130" t="str">
        <f t="shared" si="7"/>
        <v>PaymentElectionOption_AccountType</v>
      </c>
      <c r="E71" s="40" t="str">
        <f t="shared" si="8"/>
        <v>PaymentElectionOption_AccountType2</v>
      </c>
      <c r="F71" s="146"/>
      <c r="G71" s="155" t="s">
        <v>191</v>
      </c>
      <c r="H71" s="155" t="s">
        <v>191</v>
      </c>
      <c r="I71" s="155" t="s">
        <v>191</v>
      </c>
      <c r="J71" s="155" t="s">
        <v>191</v>
      </c>
      <c r="K71" s="155" t="s">
        <v>191</v>
      </c>
      <c r="L71" s="155" t="s">
        <v>191</v>
      </c>
      <c r="M71" s="155" t="s">
        <v>191</v>
      </c>
      <c r="N71" s="155" t="s">
        <v>191</v>
      </c>
      <c r="O71" s="155" t="s">
        <v>191</v>
      </c>
      <c r="P71" s="155" t="s">
        <v>191</v>
      </c>
      <c r="Q71" s="155" t="s">
        <v>191</v>
      </c>
      <c r="R71" s="155" t="s">
        <v>191</v>
      </c>
      <c r="S71" s="155" t="s">
        <v>191</v>
      </c>
      <c r="T71" s="155" t="s">
        <v>191</v>
      </c>
      <c r="U71" s="155" t="s">
        <v>191</v>
      </c>
    </row>
    <row r="72" spans="1:21" x14ac:dyDescent="0.35">
      <c r="A72" s="10" t="s">
        <v>154</v>
      </c>
      <c r="B72" s="47" t="s">
        <v>73</v>
      </c>
      <c r="C72" s="132" t="s">
        <v>1226</v>
      </c>
      <c r="D72" s="185" t="str">
        <f>SUBSTITUTE(A72," ","") &amp; "_" &amp; SUBSTITUTE(IF(B72="N/A","",B72&amp; "_")," ","")  &amp; SUBSTITUTE(SUBSTITUTE(C72," ",""),"/","")</f>
        <v>AssignPayGroup_ProposedPayGroupFinal</v>
      </c>
      <c r="E72" s="40" t="str">
        <f>D72&amp;2</f>
        <v>AssignPayGroup_ProposedPayGroupFinal2</v>
      </c>
      <c r="F72" s="146"/>
      <c r="G72" s="153" t="s">
        <v>1221</v>
      </c>
      <c r="H72" s="153" t="s">
        <v>1243</v>
      </c>
      <c r="I72" s="153" t="s">
        <v>1243</v>
      </c>
      <c r="J72" s="153" t="s">
        <v>1221</v>
      </c>
      <c r="K72" s="153" t="s">
        <v>1243</v>
      </c>
      <c r="L72" s="153" t="s">
        <v>1243</v>
      </c>
      <c r="M72" s="153" t="s">
        <v>1243</v>
      </c>
      <c r="N72" s="153" t="s">
        <v>1221</v>
      </c>
      <c r="O72" s="153" t="s">
        <v>1243</v>
      </c>
      <c r="P72" s="153" t="s">
        <v>1221</v>
      </c>
      <c r="Q72" s="153" t="s">
        <v>1243</v>
      </c>
      <c r="R72" s="153" t="s">
        <v>1243</v>
      </c>
      <c r="S72" s="153" t="s">
        <v>1221</v>
      </c>
      <c r="T72" s="153" t="s">
        <v>1221</v>
      </c>
      <c r="U72" s="153" t="s">
        <v>1221</v>
      </c>
    </row>
  </sheetData>
  <phoneticPr fontId="13"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24:U24 G39:U39 G63:U63 G71:U71 G36:U36 G33:U33 G3:U4" xr:uid="{00000000-0002-0000-0700-000000000000}">
      <formula1>INDIRECT($E3)</formula1>
    </dataValidation>
  </dataValidations>
  <hyperlinks>
    <hyperlink ref="I35" r:id="rId1" xr:uid="{00000000-0004-0000-0700-000000000000}"/>
    <hyperlink ref="H35" r:id="rId2" xr:uid="{00000000-0004-0000-0700-000001000000}"/>
    <hyperlink ref="J35" r:id="rId3" xr:uid="{00000000-0004-0000-0700-000002000000}"/>
    <hyperlink ref="G35" r:id="rId4" xr:uid="{00000000-0004-0000-0700-000003000000}"/>
    <hyperlink ref="K35" r:id="rId5" xr:uid="{00000000-0004-0000-0700-000004000000}"/>
    <hyperlink ref="L35" r:id="rId6" xr:uid="{00000000-0004-0000-0700-000005000000}"/>
    <hyperlink ref="M35" r:id="rId7" xr:uid="{00000000-0004-0000-0700-000006000000}"/>
    <hyperlink ref="N35" r:id="rId8" xr:uid="{00000000-0004-0000-0700-000007000000}"/>
    <hyperlink ref="O35" r:id="rId9" xr:uid="{00000000-0004-0000-0700-000008000000}"/>
    <hyperlink ref="P35" r:id="rId10" xr:uid="{00000000-0004-0000-0700-000009000000}"/>
    <hyperlink ref="Q35" r:id="rId11" xr:uid="{00000000-0004-0000-0700-00000A000000}"/>
    <hyperlink ref="R35" r:id="rId12" xr:uid="{00000000-0004-0000-0700-00000B000000}"/>
    <hyperlink ref="S35" r:id="rId13" xr:uid="{00000000-0004-0000-0700-00000C000000}"/>
    <hyperlink ref="T35" r:id="rId14" xr:uid="{00000000-0004-0000-0700-00000D000000}"/>
    <hyperlink ref="U35" r:id="rId15" xr:uid="{00000000-0004-0000-0700-00000E000000}"/>
  </hyperlinks>
  <pageMargins left="0.7" right="0.7" top="0.75" bottom="0.75" header="0.3" footer="0.3"/>
  <pageSetup paperSize="9" orientation="portrait"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09"/>
  <sheetViews>
    <sheetView topLeftCell="A142" workbookViewId="0">
      <selection activeCell="H160" sqref="H160"/>
    </sheetView>
  </sheetViews>
  <sheetFormatPr defaultRowHeight="14.5" x14ac:dyDescent="0.35"/>
  <cols>
    <col min="3" max="3" width="14.90625" customWidth="1"/>
    <col min="5" max="5" width="23.54296875" customWidth="1"/>
    <col min="7" max="7" width="18.7265625" customWidth="1"/>
    <col min="8" max="8" width="10.453125" bestFit="1" customWidth="1"/>
  </cols>
  <sheetData>
    <row r="1" spans="2:7" x14ac:dyDescent="0.35">
      <c r="B1" s="218" t="s">
        <v>1284</v>
      </c>
      <c r="C1" s="218">
        <v>2576844</v>
      </c>
      <c r="D1" t="s">
        <v>1280</v>
      </c>
      <c r="E1" t="str">
        <f>C1&amp;D1</f>
        <v>2576844IY</v>
      </c>
      <c r="G1" t="s">
        <v>1301</v>
      </c>
    </row>
    <row r="2" spans="2:7" x14ac:dyDescent="0.35">
      <c r="B2" s="218" t="s">
        <v>1285</v>
      </c>
      <c r="C2" s="218">
        <v>2576845</v>
      </c>
      <c r="D2" t="s">
        <v>1281</v>
      </c>
      <c r="E2" t="str">
        <f t="shared" ref="E2:E14" si="0">C2&amp;D2</f>
        <v>2576845IZ</v>
      </c>
      <c r="G2" t="s">
        <v>1302</v>
      </c>
    </row>
    <row r="3" spans="2:7" x14ac:dyDescent="0.35">
      <c r="B3" s="218" t="s">
        <v>1286</v>
      </c>
      <c r="C3" s="218">
        <v>2576846</v>
      </c>
      <c r="D3" t="s">
        <v>1282</v>
      </c>
      <c r="E3" t="str">
        <f t="shared" si="0"/>
        <v>2576846JA</v>
      </c>
      <c r="G3" t="s">
        <v>1303</v>
      </c>
    </row>
    <row r="4" spans="2:7" x14ac:dyDescent="0.35">
      <c r="B4" s="218" t="s">
        <v>1287</v>
      </c>
      <c r="C4" s="218">
        <v>2576847</v>
      </c>
      <c r="D4" t="s">
        <v>1283</v>
      </c>
      <c r="E4" t="str">
        <f t="shared" si="0"/>
        <v>2576847JB</v>
      </c>
      <c r="G4" t="s">
        <v>1304</v>
      </c>
    </row>
    <row r="5" spans="2:7" x14ac:dyDescent="0.35">
      <c r="B5" s="218" t="s">
        <v>1288</v>
      </c>
      <c r="C5" s="218">
        <v>2576848</v>
      </c>
      <c r="D5" t="s">
        <v>1282</v>
      </c>
      <c r="E5" t="str">
        <f t="shared" si="0"/>
        <v>2576848JA</v>
      </c>
      <c r="G5" t="s">
        <v>1305</v>
      </c>
    </row>
    <row r="6" spans="2:7" x14ac:dyDescent="0.35">
      <c r="B6" s="218" t="s">
        <v>1289</v>
      </c>
      <c r="C6" s="218">
        <v>2576849</v>
      </c>
      <c r="D6" t="s">
        <v>1282</v>
      </c>
      <c r="E6" t="str">
        <f t="shared" si="0"/>
        <v>2576849JA</v>
      </c>
      <c r="G6" t="s">
        <v>1306</v>
      </c>
    </row>
    <row r="7" spans="2:7" x14ac:dyDescent="0.35">
      <c r="B7" s="218" t="s">
        <v>1290</v>
      </c>
      <c r="C7" s="218">
        <v>2576850</v>
      </c>
      <c r="D7" t="s">
        <v>1282</v>
      </c>
      <c r="E7" t="str">
        <f t="shared" si="0"/>
        <v>2576850JA</v>
      </c>
      <c r="G7" t="s">
        <v>1307</v>
      </c>
    </row>
    <row r="8" spans="2:7" x14ac:dyDescent="0.35">
      <c r="B8" s="218" t="s">
        <v>1291</v>
      </c>
      <c r="C8" s="218">
        <v>2576851</v>
      </c>
      <c r="D8" t="s">
        <v>1282</v>
      </c>
      <c r="E8" t="str">
        <f t="shared" si="0"/>
        <v>2576851JA</v>
      </c>
      <c r="G8" t="s">
        <v>1308</v>
      </c>
    </row>
    <row r="9" spans="2:7" x14ac:dyDescent="0.35">
      <c r="B9" s="218" t="s">
        <v>1292</v>
      </c>
      <c r="C9" s="218">
        <v>2576852</v>
      </c>
      <c r="D9" t="s">
        <v>1282</v>
      </c>
      <c r="E9" t="str">
        <f>C9&amp;D9</f>
        <v>2576852JA</v>
      </c>
      <c r="G9" t="s">
        <v>1309</v>
      </c>
    </row>
    <row r="10" spans="2:7" x14ac:dyDescent="0.35">
      <c r="B10" s="218" t="s">
        <v>1293</v>
      </c>
      <c r="C10" s="218">
        <v>2576853</v>
      </c>
      <c r="D10" t="s">
        <v>1282</v>
      </c>
      <c r="E10" t="str">
        <f t="shared" si="0"/>
        <v>2576853JA</v>
      </c>
      <c r="G10" t="s">
        <v>1310</v>
      </c>
    </row>
    <row r="11" spans="2:7" x14ac:dyDescent="0.35">
      <c r="B11" s="218" t="s">
        <v>1294</v>
      </c>
      <c r="C11" s="218">
        <v>2576854</v>
      </c>
      <c r="D11" t="s">
        <v>1282</v>
      </c>
      <c r="E11" t="str">
        <f t="shared" si="0"/>
        <v>2576854JA</v>
      </c>
      <c r="G11" t="s">
        <v>1311</v>
      </c>
    </row>
    <row r="12" spans="2:7" x14ac:dyDescent="0.35">
      <c r="B12" s="218" t="s">
        <v>1295</v>
      </c>
      <c r="C12" s="218">
        <v>2576855</v>
      </c>
      <c r="D12" t="s">
        <v>1282</v>
      </c>
      <c r="E12" t="str">
        <f t="shared" si="0"/>
        <v>2576855JA</v>
      </c>
      <c r="G12" t="s">
        <v>1312</v>
      </c>
    </row>
    <row r="13" spans="2:7" x14ac:dyDescent="0.35">
      <c r="B13" s="218" t="s">
        <v>1296</v>
      </c>
      <c r="C13" s="218">
        <v>2576856</v>
      </c>
      <c r="D13" t="s">
        <v>1282</v>
      </c>
      <c r="E13" t="str">
        <f t="shared" si="0"/>
        <v>2576856JA</v>
      </c>
      <c r="G13" t="s">
        <v>1313</v>
      </c>
    </row>
    <row r="14" spans="2:7" x14ac:dyDescent="0.35">
      <c r="B14" s="218" t="s">
        <v>1297</v>
      </c>
      <c r="C14" s="218">
        <v>2576857</v>
      </c>
      <c r="D14" t="s">
        <v>1282</v>
      </c>
      <c r="E14" t="str">
        <f t="shared" si="0"/>
        <v>2576857JA</v>
      </c>
      <c r="G14" t="s">
        <v>1314</v>
      </c>
    </row>
    <row r="15" spans="2:7" x14ac:dyDescent="0.35">
      <c r="B15" s="218" t="s">
        <v>1298</v>
      </c>
      <c r="C15" s="218">
        <v>2576858</v>
      </c>
      <c r="D15" t="s">
        <v>1282</v>
      </c>
      <c r="E15" t="str">
        <f t="shared" ref="E15:E78" si="1">C15&amp;D15</f>
        <v>2576858JA</v>
      </c>
      <c r="G15" t="s">
        <v>1315</v>
      </c>
    </row>
    <row r="16" spans="2:7" x14ac:dyDescent="0.35">
      <c r="C16" s="218">
        <v>2576859</v>
      </c>
      <c r="D16" t="s">
        <v>1282</v>
      </c>
      <c r="E16" s="29" t="str">
        <f t="shared" si="1"/>
        <v>2576859JA</v>
      </c>
      <c r="G16" s="29" t="s">
        <v>1316</v>
      </c>
    </row>
    <row r="17" spans="3:7" x14ac:dyDescent="0.35">
      <c r="C17" s="218">
        <v>2576860</v>
      </c>
      <c r="D17" t="s">
        <v>1282</v>
      </c>
      <c r="E17" t="str">
        <f t="shared" si="1"/>
        <v>2576860JA</v>
      </c>
      <c r="G17" s="29" t="s">
        <v>1317</v>
      </c>
    </row>
    <row r="18" spans="3:7" x14ac:dyDescent="0.35">
      <c r="C18" s="218">
        <v>2576861</v>
      </c>
      <c r="D18" t="s">
        <v>1282</v>
      </c>
      <c r="E18" t="str">
        <f t="shared" si="1"/>
        <v>2576861JA</v>
      </c>
      <c r="G18" s="29" t="s">
        <v>1318</v>
      </c>
    </row>
    <row r="19" spans="3:7" x14ac:dyDescent="0.35">
      <c r="C19" s="218">
        <v>2576862</v>
      </c>
      <c r="D19" t="s">
        <v>1282</v>
      </c>
      <c r="E19" t="str">
        <f t="shared" si="1"/>
        <v>2576862JA</v>
      </c>
      <c r="G19" s="29" t="s">
        <v>1319</v>
      </c>
    </row>
    <row r="20" spans="3:7" x14ac:dyDescent="0.35">
      <c r="C20" s="218">
        <v>2576863</v>
      </c>
      <c r="D20" t="s">
        <v>1282</v>
      </c>
      <c r="E20" t="str">
        <f t="shared" si="1"/>
        <v>2576863JA</v>
      </c>
      <c r="G20" s="29" t="s">
        <v>1320</v>
      </c>
    </row>
    <row r="21" spans="3:7" x14ac:dyDescent="0.35">
      <c r="C21" s="218">
        <v>2576864</v>
      </c>
      <c r="D21" t="s">
        <v>1282</v>
      </c>
      <c r="E21" t="str">
        <f t="shared" si="1"/>
        <v>2576864JA</v>
      </c>
      <c r="G21" s="29" t="s">
        <v>1321</v>
      </c>
    </row>
    <row r="22" spans="3:7" x14ac:dyDescent="0.35">
      <c r="C22" s="218">
        <v>2576865</v>
      </c>
      <c r="D22" t="s">
        <v>1282</v>
      </c>
      <c r="E22" t="str">
        <f t="shared" si="1"/>
        <v>2576865JA</v>
      </c>
      <c r="G22" s="29" t="s">
        <v>1322</v>
      </c>
    </row>
    <row r="23" spans="3:7" x14ac:dyDescent="0.35">
      <c r="C23" s="218">
        <v>2576866</v>
      </c>
      <c r="D23" t="s">
        <v>1282</v>
      </c>
      <c r="E23" t="str">
        <f t="shared" si="1"/>
        <v>2576866JA</v>
      </c>
      <c r="G23" s="29" t="s">
        <v>1323</v>
      </c>
    </row>
    <row r="24" spans="3:7" x14ac:dyDescent="0.35">
      <c r="C24" s="218">
        <v>2576867</v>
      </c>
      <c r="D24" t="s">
        <v>1282</v>
      </c>
      <c r="E24" t="str">
        <f t="shared" si="1"/>
        <v>2576867JA</v>
      </c>
      <c r="G24" s="29" t="s">
        <v>1324</v>
      </c>
    </row>
    <row r="25" spans="3:7" x14ac:dyDescent="0.35">
      <c r="C25" s="218">
        <v>2576868</v>
      </c>
      <c r="D25" t="s">
        <v>1282</v>
      </c>
      <c r="E25" t="str">
        <f t="shared" si="1"/>
        <v>2576868JA</v>
      </c>
      <c r="G25" s="29" t="s">
        <v>1325</v>
      </c>
    </row>
    <row r="26" spans="3:7" x14ac:dyDescent="0.35">
      <c r="C26" s="218">
        <v>2576869</v>
      </c>
      <c r="D26" t="s">
        <v>1282</v>
      </c>
      <c r="E26" t="str">
        <f t="shared" si="1"/>
        <v>2576869JA</v>
      </c>
      <c r="G26" s="29" t="s">
        <v>1326</v>
      </c>
    </row>
    <row r="27" spans="3:7" x14ac:dyDescent="0.35">
      <c r="C27" s="218">
        <v>2576870</v>
      </c>
      <c r="D27" t="s">
        <v>1282</v>
      </c>
      <c r="E27" t="str">
        <f t="shared" si="1"/>
        <v>2576870JA</v>
      </c>
      <c r="G27" s="29" t="s">
        <v>1327</v>
      </c>
    </row>
    <row r="28" spans="3:7" x14ac:dyDescent="0.35">
      <c r="C28" s="218">
        <v>2576871</v>
      </c>
      <c r="D28" t="s">
        <v>1282</v>
      </c>
      <c r="E28" t="str">
        <f t="shared" si="1"/>
        <v>2576871JA</v>
      </c>
      <c r="G28" s="29" t="s">
        <v>1328</v>
      </c>
    </row>
    <row r="29" spans="3:7" x14ac:dyDescent="0.35">
      <c r="C29" s="218">
        <v>2576872</v>
      </c>
      <c r="D29" t="s">
        <v>1282</v>
      </c>
      <c r="E29" t="str">
        <f t="shared" si="1"/>
        <v>2576872JA</v>
      </c>
      <c r="G29" s="29" t="s">
        <v>1329</v>
      </c>
    </row>
    <row r="30" spans="3:7" x14ac:dyDescent="0.35">
      <c r="C30" s="218">
        <v>2576873</v>
      </c>
      <c r="D30" t="s">
        <v>1282</v>
      </c>
      <c r="E30" t="str">
        <f t="shared" si="1"/>
        <v>2576873JA</v>
      </c>
      <c r="G30" s="29" t="s">
        <v>1330</v>
      </c>
    </row>
    <row r="31" spans="3:7" x14ac:dyDescent="0.35">
      <c r="C31" s="218">
        <v>2576874</v>
      </c>
      <c r="D31" t="s">
        <v>1282</v>
      </c>
      <c r="E31" t="str">
        <f t="shared" si="1"/>
        <v>2576874JA</v>
      </c>
      <c r="G31" s="29" t="s">
        <v>1331</v>
      </c>
    </row>
    <row r="32" spans="3:7" x14ac:dyDescent="0.35">
      <c r="C32" s="218">
        <v>2576875</v>
      </c>
      <c r="D32" t="s">
        <v>1282</v>
      </c>
      <c r="E32" t="str">
        <f t="shared" si="1"/>
        <v>2576875JA</v>
      </c>
      <c r="G32" s="29" t="s">
        <v>1332</v>
      </c>
    </row>
    <row r="33" spans="3:7" x14ac:dyDescent="0.35">
      <c r="C33" s="218">
        <v>2576876</v>
      </c>
      <c r="D33" t="s">
        <v>1282</v>
      </c>
      <c r="E33" t="str">
        <f t="shared" si="1"/>
        <v>2576876JA</v>
      </c>
      <c r="G33" s="29" t="s">
        <v>1333</v>
      </c>
    </row>
    <row r="34" spans="3:7" x14ac:dyDescent="0.35">
      <c r="C34" s="218">
        <v>2576877</v>
      </c>
      <c r="D34" t="s">
        <v>1282</v>
      </c>
      <c r="E34" t="str">
        <f t="shared" si="1"/>
        <v>2576877JA</v>
      </c>
      <c r="G34" s="29" t="s">
        <v>1334</v>
      </c>
    </row>
    <row r="35" spans="3:7" x14ac:dyDescent="0.35">
      <c r="C35" s="218">
        <v>2576878</v>
      </c>
      <c r="D35" t="s">
        <v>1282</v>
      </c>
      <c r="E35" t="str">
        <f t="shared" si="1"/>
        <v>2576878JA</v>
      </c>
      <c r="G35" s="29" t="s">
        <v>1335</v>
      </c>
    </row>
    <row r="36" spans="3:7" x14ac:dyDescent="0.35">
      <c r="C36" s="218">
        <v>2576879</v>
      </c>
      <c r="D36" t="s">
        <v>1282</v>
      </c>
      <c r="E36" t="str">
        <f t="shared" si="1"/>
        <v>2576879JA</v>
      </c>
      <c r="G36" s="29" t="s">
        <v>1336</v>
      </c>
    </row>
    <row r="37" spans="3:7" x14ac:dyDescent="0.35">
      <c r="C37" s="218">
        <v>2576880</v>
      </c>
      <c r="D37" t="s">
        <v>1282</v>
      </c>
      <c r="E37" t="str">
        <f t="shared" si="1"/>
        <v>2576880JA</v>
      </c>
      <c r="G37" s="29" t="s">
        <v>1337</v>
      </c>
    </row>
    <row r="38" spans="3:7" x14ac:dyDescent="0.35">
      <c r="C38" s="218">
        <v>2576881</v>
      </c>
      <c r="D38" t="s">
        <v>1282</v>
      </c>
      <c r="E38" t="str">
        <f t="shared" si="1"/>
        <v>2576881JA</v>
      </c>
      <c r="G38" s="29" t="s">
        <v>1338</v>
      </c>
    </row>
    <row r="39" spans="3:7" x14ac:dyDescent="0.35">
      <c r="C39" s="218">
        <v>2576882</v>
      </c>
      <c r="D39" t="s">
        <v>1282</v>
      </c>
      <c r="E39" t="str">
        <f t="shared" si="1"/>
        <v>2576882JA</v>
      </c>
      <c r="G39" s="29" t="s">
        <v>1339</v>
      </c>
    </row>
    <row r="40" spans="3:7" x14ac:dyDescent="0.35">
      <c r="C40" s="218">
        <v>2576883</v>
      </c>
      <c r="D40" t="s">
        <v>1282</v>
      </c>
      <c r="E40" t="str">
        <f t="shared" si="1"/>
        <v>2576883JA</v>
      </c>
      <c r="G40" s="29" t="s">
        <v>1340</v>
      </c>
    </row>
    <row r="41" spans="3:7" x14ac:dyDescent="0.35">
      <c r="C41" s="218">
        <v>2576884</v>
      </c>
      <c r="D41" t="s">
        <v>1282</v>
      </c>
      <c r="E41" t="str">
        <f t="shared" si="1"/>
        <v>2576884JA</v>
      </c>
      <c r="G41" s="29" t="s">
        <v>1341</v>
      </c>
    </row>
    <row r="42" spans="3:7" x14ac:dyDescent="0.35">
      <c r="C42" s="218">
        <v>2576885</v>
      </c>
      <c r="D42" t="s">
        <v>1282</v>
      </c>
      <c r="E42" t="str">
        <f t="shared" si="1"/>
        <v>2576885JA</v>
      </c>
      <c r="G42" s="29" t="s">
        <v>1342</v>
      </c>
    </row>
    <row r="43" spans="3:7" x14ac:dyDescent="0.35">
      <c r="C43" s="218">
        <v>2576886</v>
      </c>
      <c r="D43" t="s">
        <v>1282</v>
      </c>
      <c r="E43" t="str">
        <f t="shared" si="1"/>
        <v>2576886JA</v>
      </c>
      <c r="G43" s="29" t="s">
        <v>1343</v>
      </c>
    </row>
    <row r="44" spans="3:7" x14ac:dyDescent="0.35">
      <c r="C44" s="218">
        <v>2576887</v>
      </c>
      <c r="D44" t="s">
        <v>1282</v>
      </c>
      <c r="E44" t="str">
        <f t="shared" si="1"/>
        <v>2576887JA</v>
      </c>
      <c r="G44" s="29" t="s">
        <v>1344</v>
      </c>
    </row>
    <row r="45" spans="3:7" x14ac:dyDescent="0.35">
      <c r="C45" s="218">
        <v>2576888</v>
      </c>
      <c r="D45" t="s">
        <v>1282</v>
      </c>
      <c r="E45" t="str">
        <f t="shared" si="1"/>
        <v>2576888JA</v>
      </c>
      <c r="G45" s="29" t="s">
        <v>1345</v>
      </c>
    </row>
    <row r="46" spans="3:7" x14ac:dyDescent="0.35">
      <c r="C46" s="218">
        <v>2576889</v>
      </c>
      <c r="D46" t="s">
        <v>1282</v>
      </c>
      <c r="E46" t="str">
        <f t="shared" si="1"/>
        <v>2576889JA</v>
      </c>
      <c r="G46" s="29" t="s">
        <v>1348</v>
      </c>
    </row>
    <row r="47" spans="3:7" x14ac:dyDescent="0.35">
      <c r="C47" s="218">
        <v>2576890</v>
      </c>
      <c r="D47" t="s">
        <v>1282</v>
      </c>
      <c r="E47" t="str">
        <f t="shared" si="1"/>
        <v>2576890JA</v>
      </c>
      <c r="G47" s="29" t="s">
        <v>1349</v>
      </c>
    </row>
    <row r="48" spans="3:7" x14ac:dyDescent="0.35">
      <c r="C48" s="218">
        <v>2576891</v>
      </c>
      <c r="D48" t="s">
        <v>1282</v>
      </c>
      <c r="E48" t="str">
        <f t="shared" si="1"/>
        <v>2576891JA</v>
      </c>
      <c r="G48" s="29" t="s">
        <v>1350</v>
      </c>
    </row>
    <row r="49" spans="3:7" x14ac:dyDescent="0.35">
      <c r="C49" s="218">
        <v>2576892</v>
      </c>
      <c r="D49" t="s">
        <v>1282</v>
      </c>
      <c r="E49" t="str">
        <f t="shared" si="1"/>
        <v>2576892JA</v>
      </c>
      <c r="G49" s="29" t="s">
        <v>1351</v>
      </c>
    </row>
    <row r="50" spans="3:7" x14ac:dyDescent="0.35">
      <c r="C50" s="218">
        <v>2576893</v>
      </c>
      <c r="D50" t="s">
        <v>1282</v>
      </c>
      <c r="E50" t="str">
        <f t="shared" si="1"/>
        <v>2576893JA</v>
      </c>
      <c r="G50" s="29" t="s">
        <v>1352</v>
      </c>
    </row>
    <row r="51" spans="3:7" x14ac:dyDescent="0.35">
      <c r="C51" s="218">
        <v>2576894</v>
      </c>
      <c r="D51" t="s">
        <v>1282</v>
      </c>
      <c r="E51" t="str">
        <f t="shared" si="1"/>
        <v>2576894JA</v>
      </c>
      <c r="G51" s="29" t="s">
        <v>1353</v>
      </c>
    </row>
    <row r="52" spans="3:7" x14ac:dyDescent="0.35">
      <c r="C52" s="218">
        <v>2576895</v>
      </c>
      <c r="D52" t="s">
        <v>1282</v>
      </c>
      <c r="E52" t="str">
        <f t="shared" si="1"/>
        <v>2576895JA</v>
      </c>
      <c r="G52" s="29" t="s">
        <v>1354</v>
      </c>
    </row>
    <row r="53" spans="3:7" x14ac:dyDescent="0.35">
      <c r="C53" s="218">
        <v>2576896</v>
      </c>
      <c r="D53" t="s">
        <v>1282</v>
      </c>
      <c r="E53" t="str">
        <f t="shared" si="1"/>
        <v>2576896JA</v>
      </c>
      <c r="G53" s="29" t="s">
        <v>1355</v>
      </c>
    </row>
    <row r="54" spans="3:7" x14ac:dyDescent="0.35">
      <c r="C54" s="218">
        <v>2576897</v>
      </c>
      <c r="D54" t="s">
        <v>1282</v>
      </c>
      <c r="E54" t="str">
        <f t="shared" si="1"/>
        <v>2576897JA</v>
      </c>
      <c r="G54" s="29" t="s">
        <v>1356</v>
      </c>
    </row>
    <row r="55" spans="3:7" x14ac:dyDescent="0.35">
      <c r="C55" s="218">
        <v>2576898</v>
      </c>
      <c r="D55" t="s">
        <v>1282</v>
      </c>
      <c r="E55" t="str">
        <f t="shared" si="1"/>
        <v>2576898JA</v>
      </c>
      <c r="G55" s="29" t="s">
        <v>1357</v>
      </c>
    </row>
    <row r="56" spans="3:7" x14ac:dyDescent="0.35">
      <c r="C56" s="218">
        <v>2576899</v>
      </c>
      <c r="D56" t="s">
        <v>1282</v>
      </c>
      <c r="E56" t="str">
        <f t="shared" si="1"/>
        <v>2576899JA</v>
      </c>
      <c r="G56" s="29" t="s">
        <v>1358</v>
      </c>
    </row>
    <row r="57" spans="3:7" x14ac:dyDescent="0.35">
      <c r="C57" s="218">
        <v>2576900</v>
      </c>
      <c r="D57" t="s">
        <v>1282</v>
      </c>
      <c r="E57" t="str">
        <f t="shared" si="1"/>
        <v>2576900JA</v>
      </c>
      <c r="G57" s="29" t="s">
        <v>1359</v>
      </c>
    </row>
    <row r="58" spans="3:7" x14ac:dyDescent="0.35">
      <c r="C58" s="218">
        <v>2576901</v>
      </c>
      <c r="D58" t="s">
        <v>1282</v>
      </c>
      <c r="E58" t="str">
        <f t="shared" si="1"/>
        <v>2576901JA</v>
      </c>
      <c r="G58" s="29" t="s">
        <v>1360</v>
      </c>
    </row>
    <row r="59" spans="3:7" x14ac:dyDescent="0.35">
      <c r="C59" s="218">
        <v>2576902</v>
      </c>
      <c r="D59" t="s">
        <v>1282</v>
      </c>
      <c r="E59" t="str">
        <f t="shared" si="1"/>
        <v>2576902JA</v>
      </c>
      <c r="G59" s="29" t="s">
        <v>1361</v>
      </c>
    </row>
    <row r="60" spans="3:7" x14ac:dyDescent="0.35">
      <c r="C60" s="218">
        <v>2576903</v>
      </c>
      <c r="D60" t="s">
        <v>1282</v>
      </c>
      <c r="E60" t="str">
        <f t="shared" si="1"/>
        <v>2576903JA</v>
      </c>
      <c r="G60" s="29" t="s">
        <v>1362</v>
      </c>
    </row>
    <row r="61" spans="3:7" x14ac:dyDescent="0.35">
      <c r="C61" s="218">
        <v>2576904</v>
      </c>
      <c r="D61" t="s">
        <v>1282</v>
      </c>
      <c r="E61" t="str">
        <f t="shared" si="1"/>
        <v>2576904JA</v>
      </c>
      <c r="G61" s="29" t="s">
        <v>1363</v>
      </c>
    </row>
    <row r="62" spans="3:7" x14ac:dyDescent="0.35">
      <c r="C62" s="218">
        <v>2576905</v>
      </c>
      <c r="D62" t="s">
        <v>1282</v>
      </c>
      <c r="E62" t="str">
        <f t="shared" si="1"/>
        <v>2576905JA</v>
      </c>
      <c r="G62" s="29" t="s">
        <v>1364</v>
      </c>
    </row>
    <row r="63" spans="3:7" x14ac:dyDescent="0.35">
      <c r="C63" s="218">
        <v>2576906</v>
      </c>
      <c r="D63" t="s">
        <v>1282</v>
      </c>
      <c r="E63" t="str">
        <f t="shared" si="1"/>
        <v>2576906JA</v>
      </c>
      <c r="G63" s="29" t="s">
        <v>1365</v>
      </c>
    </row>
    <row r="64" spans="3:7" x14ac:dyDescent="0.35">
      <c r="C64" s="218">
        <v>2576907</v>
      </c>
      <c r="D64" t="s">
        <v>1282</v>
      </c>
      <c r="E64" t="str">
        <f t="shared" si="1"/>
        <v>2576907JA</v>
      </c>
      <c r="G64" s="29" t="s">
        <v>1366</v>
      </c>
    </row>
    <row r="65" spans="3:7" x14ac:dyDescent="0.35">
      <c r="C65" s="218">
        <v>2576908</v>
      </c>
      <c r="D65" t="s">
        <v>1282</v>
      </c>
      <c r="E65" t="str">
        <f t="shared" si="1"/>
        <v>2576908JA</v>
      </c>
      <c r="G65" s="29" t="s">
        <v>1367</v>
      </c>
    </row>
    <row r="66" spans="3:7" x14ac:dyDescent="0.35">
      <c r="C66" s="218">
        <v>2576909</v>
      </c>
      <c r="D66" t="s">
        <v>1282</v>
      </c>
      <c r="E66" t="str">
        <f t="shared" si="1"/>
        <v>2576909JA</v>
      </c>
      <c r="G66" s="29" t="s">
        <v>1368</v>
      </c>
    </row>
    <row r="67" spans="3:7" x14ac:dyDescent="0.35">
      <c r="C67" s="218">
        <v>2576910</v>
      </c>
      <c r="D67" t="s">
        <v>1282</v>
      </c>
      <c r="E67" t="str">
        <f t="shared" si="1"/>
        <v>2576910JA</v>
      </c>
      <c r="G67" s="29" t="s">
        <v>1369</v>
      </c>
    </row>
    <row r="68" spans="3:7" x14ac:dyDescent="0.35">
      <c r="C68" s="218">
        <v>2576911</v>
      </c>
      <c r="D68" t="s">
        <v>1282</v>
      </c>
      <c r="E68" t="str">
        <f t="shared" si="1"/>
        <v>2576911JA</v>
      </c>
      <c r="G68" s="29" t="s">
        <v>1370</v>
      </c>
    </row>
    <row r="69" spans="3:7" x14ac:dyDescent="0.35">
      <c r="C69" s="218">
        <v>2576912</v>
      </c>
      <c r="D69" t="s">
        <v>1282</v>
      </c>
      <c r="E69" t="str">
        <f t="shared" si="1"/>
        <v>2576912JA</v>
      </c>
      <c r="G69" s="29" t="s">
        <v>1371</v>
      </c>
    </row>
    <row r="70" spans="3:7" x14ac:dyDescent="0.35">
      <c r="C70" s="218">
        <v>2576913</v>
      </c>
      <c r="D70" t="s">
        <v>1282</v>
      </c>
      <c r="E70" t="str">
        <f t="shared" si="1"/>
        <v>2576913JA</v>
      </c>
      <c r="G70" s="29" t="s">
        <v>1372</v>
      </c>
    </row>
    <row r="71" spans="3:7" x14ac:dyDescent="0.35">
      <c r="C71" s="218">
        <v>2576914</v>
      </c>
      <c r="D71" t="s">
        <v>1282</v>
      </c>
      <c r="E71" t="str">
        <f t="shared" si="1"/>
        <v>2576914JA</v>
      </c>
      <c r="G71" s="29" t="s">
        <v>1373</v>
      </c>
    </row>
    <row r="72" spans="3:7" x14ac:dyDescent="0.35">
      <c r="C72" s="218">
        <v>2576915</v>
      </c>
      <c r="D72" t="s">
        <v>1282</v>
      </c>
      <c r="E72" t="str">
        <f t="shared" si="1"/>
        <v>2576915JA</v>
      </c>
      <c r="G72" s="29" t="s">
        <v>1374</v>
      </c>
    </row>
    <row r="73" spans="3:7" x14ac:dyDescent="0.35">
      <c r="C73" s="218">
        <v>2576916</v>
      </c>
      <c r="D73" t="s">
        <v>1282</v>
      </c>
      <c r="E73" t="str">
        <f t="shared" si="1"/>
        <v>2576916JA</v>
      </c>
      <c r="G73" s="29" t="s">
        <v>1375</v>
      </c>
    </row>
    <row r="74" spans="3:7" x14ac:dyDescent="0.35">
      <c r="C74" s="218">
        <v>2576917</v>
      </c>
      <c r="D74" t="s">
        <v>1282</v>
      </c>
      <c r="E74" t="str">
        <f t="shared" si="1"/>
        <v>2576917JA</v>
      </c>
      <c r="G74" s="29" t="s">
        <v>1376</v>
      </c>
    </row>
    <row r="75" spans="3:7" x14ac:dyDescent="0.35">
      <c r="C75" s="218">
        <v>2576918</v>
      </c>
      <c r="D75" t="s">
        <v>1282</v>
      </c>
      <c r="E75" t="str">
        <f t="shared" si="1"/>
        <v>2576918JA</v>
      </c>
      <c r="G75" s="29" t="s">
        <v>1377</v>
      </c>
    </row>
    <row r="76" spans="3:7" x14ac:dyDescent="0.35">
      <c r="C76" s="218">
        <v>2576919</v>
      </c>
      <c r="D76" t="s">
        <v>1282</v>
      </c>
      <c r="E76" t="str">
        <f t="shared" si="1"/>
        <v>2576919JA</v>
      </c>
      <c r="G76" s="29" t="s">
        <v>1378</v>
      </c>
    </row>
    <row r="77" spans="3:7" x14ac:dyDescent="0.35">
      <c r="C77" s="218">
        <v>2576920</v>
      </c>
      <c r="D77" t="s">
        <v>1282</v>
      </c>
      <c r="E77" t="str">
        <f t="shared" si="1"/>
        <v>2576920JA</v>
      </c>
      <c r="G77" s="29" t="s">
        <v>1379</v>
      </c>
    </row>
    <row r="78" spans="3:7" x14ac:dyDescent="0.35">
      <c r="C78" s="218">
        <v>2576921</v>
      </c>
      <c r="D78" t="s">
        <v>1282</v>
      </c>
      <c r="E78" t="str">
        <f t="shared" si="1"/>
        <v>2576921JA</v>
      </c>
      <c r="G78" s="29" t="s">
        <v>1380</v>
      </c>
    </row>
    <row r="79" spans="3:7" x14ac:dyDescent="0.35">
      <c r="C79" s="218">
        <v>2576922</v>
      </c>
      <c r="D79" t="s">
        <v>1282</v>
      </c>
      <c r="E79" t="str">
        <f t="shared" ref="E79:E142" si="2">C79&amp;D79</f>
        <v>2576922JA</v>
      </c>
      <c r="G79" s="29" t="s">
        <v>1381</v>
      </c>
    </row>
    <row r="80" spans="3:7" x14ac:dyDescent="0.35">
      <c r="C80" s="218">
        <v>2576923</v>
      </c>
      <c r="D80" t="s">
        <v>1282</v>
      </c>
      <c r="E80" t="str">
        <f t="shared" si="2"/>
        <v>2576923JA</v>
      </c>
      <c r="G80" s="29" t="s">
        <v>1382</v>
      </c>
    </row>
    <row r="81" spans="3:7" x14ac:dyDescent="0.35">
      <c r="C81" s="218">
        <v>2576924</v>
      </c>
      <c r="D81" t="s">
        <v>1282</v>
      </c>
      <c r="E81" t="str">
        <f t="shared" si="2"/>
        <v>2576924JA</v>
      </c>
      <c r="G81" s="29" t="s">
        <v>1383</v>
      </c>
    </row>
    <row r="82" spans="3:7" x14ac:dyDescent="0.35">
      <c r="C82" s="218">
        <v>2576925</v>
      </c>
      <c r="D82" t="s">
        <v>1282</v>
      </c>
      <c r="E82" t="str">
        <f t="shared" si="2"/>
        <v>2576925JA</v>
      </c>
      <c r="G82" s="29" t="s">
        <v>1384</v>
      </c>
    </row>
    <row r="83" spans="3:7" x14ac:dyDescent="0.35">
      <c r="C83" s="218">
        <v>2576926</v>
      </c>
      <c r="D83" t="s">
        <v>1282</v>
      </c>
      <c r="E83" t="str">
        <f t="shared" si="2"/>
        <v>2576926JA</v>
      </c>
      <c r="G83" s="29" t="s">
        <v>1385</v>
      </c>
    </row>
    <row r="84" spans="3:7" x14ac:dyDescent="0.35">
      <c r="C84" s="218">
        <v>2576927</v>
      </c>
      <c r="D84" t="s">
        <v>1282</v>
      </c>
      <c r="E84" t="str">
        <f t="shared" si="2"/>
        <v>2576927JA</v>
      </c>
      <c r="G84" s="29" t="s">
        <v>1386</v>
      </c>
    </row>
    <row r="85" spans="3:7" x14ac:dyDescent="0.35">
      <c r="C85" s="218">
        <v>2576928</v>
      </c>
      <c r="D85" t="s">
        <v>1282</v>
      </c>
      <c r="E85" t="str">
        <f t="shared" si="2"/>
        <v>2576928JA</v>
      </c>
      <c r="G85" s="29" t="s">
        <v>1387</v>
      </c>
    </row>
    <row r="86" spans="3:7" x14ac:dyDescent="0.35">
      <c r="C86" s="218">
        <v>2576929</v>
      </c>
      <c r="D86" t="s">
        <v>1282</v>
      </c>
      <c r="E86" t="str">
        <f t="shared" si="2"/>
        <v>2576929JA</v>
      </c>
      <c r="G86" s="29" t="s">
        <v>1388</v>
      </c>
    </row>
    <row r="87" spans="3:7" x14ac:dyDescent="0.35">
      <c r="C87" s="218">
        <v>2576930</v>
      </c>
      <c r="D87" t="s">
        <v>1282</v>
      </c>
      <c r="E87" t="str">
        <f t="shared" si="2"/>
        <v>2576930JA</v>
      </c>
      <c r="G87" s="29" t="s">
        <v>1389</v>
      </c>
    </row>
    <row r="88" spans="3:7" x14ac:dyDescent="0.35">
      <c r="C88" s="218">
        <v>2576931</v>
      </c>
      <c r="D88" t="s">
        <v>1282</v>
      </c>
      <c r="E88" t="str">
        <f t="shared" si="2"/>
        <v>2576931JA</v>
      </c>
      <c r="G88" s="29" t="s">
        <v>1390</v>
      </c>
    </row>
    <row r="89" spans="3:7" x14ac:dyDescent="0.35">
      <c r="C89" s="218">
        <v>2576932</v>
      </c>
      <c r="D89" t="s">
        <v>1282</v>
      </c>
      <c r="E89" t="str">
        <f t="shared" si="2"/>
        <v>2576932JA</v>
      </c>
      <c r="G89" s="29" t="s">
        <v>1391</v>
      </c>
    </row>
    <row r="90" spans="3:7" x14ac:dyDescent="0.35">
      <c r="C90" s="218">
        <v>2576933</v>
      </c>
      <c r="D90" t="s">
        <v>1282</v>
      </c>
      <c r="E90" t="str">
        <f t="shared" si="2"/>
        <v>2576933JA</v>
      </c>
      <c r="G90" s="29" t="s">
        <v>1392</v>
      </c>
    </row>
    <row r="91" spans="3:7" x14ac:dyDescent="0.35">
      <c r="C91" s="218">
        <v>2576934</v>
      </c>
      <c r="D91" t="s">
        <v>1282</v>
      </c>
      <c r="E91" t="str">
        <f t="shared" si="2"/>
        <v>2576934JA</v>
      </c>
    </row>
    <row r="92" spans="3:7" x14ac:dyDescent="0.35">
      <c r="C92" s="218">
        <v>2576935</v>
      </c>
      <c r="D92" t="s">
        <v>1282</v>
      </c>
      <c r="E92" t="str">
        <f t="shared" si="2"/>
        <v>2576935JA</v>
      </c>
      <c r="G92" s="29" t="s">
        <v>1394</v>
      </c>
    </row>
    <row r="93" spans="3:7" x14ac:dyDescent="0.35">
      <c r="C93" s="218">
        <v>2576936</v>
      </c>
      <c r="D93" t="s">
        <v>1282</v>
      </c>
      <c r="E93" t="str">
        <f t="shared" si="2"/>
        <v>2576936JA</v>
      </c>
      <c r="G93" s="29" t="s">
        <v>1395</v>
      </c>
    </row>
    <row r="94" spans="3:7" x14ac:dyDescent="0.35">
      <c r="C94" s="218">
        <v>2576937</v>
      </c>
      <c r="D94" t="s">
        <v>1282</v>
      </c>
      <c r="E94" t="str">
        <f t="shared" si="2"/>
        <v>2576937JA</v>
      </c>
      <c r="G94" s="29" t="s">
        <v>1396</v>
      </c>
    </row>
    <row r="95" spans="3:7" x14ac:dyDescent="0.35">
      <c r="C95" s="218">
        <v>2576938</v>
      </c>
      <c r="D95" t="s">
        <v>1282</v>
      </c>
      <c r="E95" t="str">
        <f t="shared" si="2"/>
        <v>2576938JA</v>
      </c>
      <c r="G95" s="29" t="s">
        <v>1397</v>
      </c>
    </row>
    <row r="96" spans="3:7" x14ac:dyDescent="0.35">
      <c r="C96" s="218">
        <v>2576939</v>
      </c>
      <c r="D96" t="s">
        <v>1282</v>
      </c>
      <c r="E96" t="str">
        <f t="shared" si="2"/>
        <v>2576939JA</v>
      </c>
      <c r="G96" s="29" t="s">
        <v>1398</v>
      </c>
    </row>
    <row r="97" spans="3:7" x14ac:dyDescent="0.35">
      <c r="C97" s="218">
        <v>2576940</v>
      </c>
      <c r="D97" t="s">
        <v>1282</v>
      </c>
      <c r="E97" t="str">
        <f t="shared" si="2"/>
        <v>2576940JA</v>
      </c>
      <c r="G97" s="29" t="s">
        <v>1399</v>
      </c>
    </row>
    <row r="98" spans="3:7" x14ac:dyDescent="0.35">
      <c r="C98" s="218">
        <v>2576941</v>
      </c>
      <c r="D98" t="s">
        <v>1282</v>
      </c>
      <c r="E98" t="str">
        <f t="shared" si="2"/>
        <v>2576941JA</v>
      </c>
      <c r="G98" s="29" t="s">
        <v>1400</v>
      </c>
    </row>
    <row r="99" spans="3:7" x14ac:dyDescent="0.35">
      <c r="C99" s="218">
        <v>2576942</v>
      </c>
      <c r="D99" t="s">
        <v>1282</v>
      </c>
      <c r="E99" t="str">
        <f t="shared" si="2"/>
        <v>2576942JA</v>
      </c>
      <c r="G99" s="29" t="s">
        <v>1401</v>
      </c>
    </row>
    <row r="100" spans="3:7" x14ac:dyDescent="0.35">
      <c r="C100" s="218">
        <v>2576943</v>
      </c>
      <c r="D100" t="s">
        <v>1282</v>
      </c>
      <c r="E100" t="str">
        <f t="shared" si="2"/>
        <v>2576943JA</v>
      </c>
      <c r="G100" s="29" t="s">
        <v>1402</v>
      </c>
    </row>
    <row r="101" spans="3:7" x14ac:dyDescent="0.35">
      <c r="C101" s="218">
        <v>2576944</v>
      </c>
      <c r="D101" t="s">
        <v>1282</v>
      </c>
      <c r="E101" t="str">
        <f t="shared" si="2"/>
        <v>2576944JA</v>
      </c>
      <c r="G101" s="29" t="s">
        <v>1403</v>
      </c>
    </row>
    <row r="102" spans="3:7" x14ac:dyDescent="0.35">
      <c r="C102" s="218">
        <v>2576945</v>
      </c>
      <c r="D102" t="s">
        <v>1282</v>
      </c>
      <c r="E102" t="str">
        <f t="shared" si="2"/>
        <v>2576945JA</v>
      </c>
      <c r="G102" s="29" t="s">
        <v>1404</v>
      </c>
    </row>
    <row r="103" spans="3:7" x14ac:dyDescent="0.35">
      <c r="C103" s="218">
        <v>2576946</v>
      </c>
      <c r="D103" t="s">
        <v>1282</v>
      </c>
      <c r="E103" t="str">
        <f t="shared" si="2"/>
        <v>2576946JA</v>
      </c>
      <c r="G103" s="29" t="s">
        <v>1405</v>
      </c>
    </row>
    <row r="104" spans="3:7" x14ac:dyDescent="0.35">
      <c r="C104" s="218">
        <v>2576947</v>
      </c>
      <c r="D104" t="s">
        <v>1282</v>
      </c>
      <c r="E104" t="str">
        <f t="shared" si="2"/>
        <v>2576947JA</v>
      </c>
      <c r="G104" s="29" t="s">
        <v>1406</v>
      </c>
    </row>
    <row r="105" spans="3:7" x14ac:dyDescent="0.35">
      <c r="C105" s="218">
        <v>2576948</v>
      </c>
      <c r="D105" t="s">
        <v>1282</v>
      </c>
      <c r="E105" t="str">
        <f t="shared" si="2"/>
        <v>2576948JA</v>
      </c>
      <c r="G105" s="29" t="s">
        <v>1407</v>
      </c>
    </row>
    <row r="106" spans="3:7" x14ac:dyDescent="0.35">
      <c r="C106" s="218">
        <v>2576949</v>
      </c>
      <c r="D106" t="s">
        <v>1282</v>
      </c>
      <c r="E106" t="str">
        <f t="shared" si="2"/>
        <v>2576949JA</v>
      </c>
      <c r="G106" s="29" t="s">
        <v>1408</v>
      </c>
    </row>
    <row r="107" spans="3:7" x14ac:dyDescent="0.35">
      <c r="C107" s="218">
        <v>2576950</v>
      </c>
      <c r="D107" t="s">
        <v>1282</v>
      </c>
      <c r="E107" t="str">
        <f t="shared" si="2"/>
        <v>2576950JA</v>
      </c>
      <c r="G107" s="29" t="s">
        <v>1411</v>
      </c>
    </row>
    <row r="108" spans="3:7" x14ac:dyDescent="0.35">
      <c r="C108" s="218">
        <v>2576951</v>
      </c>
      <c r="D108" t="s">
        <v>1282</v>
      </c>
      <c r="E108" t="str">
        <f t="shared" si="2"/>
        <v>2576951JA</v>
      </c>
      <c r="G108" s="29" t="s">
        <v>1412</v>
      </c>
    </row>
    <row r="109" spans="3:7" x14ac:dyDescent="0.35">
      <c r="C109" s="218">
        <v>2576952</v>
      </c>
      <c r="D109" t="s">
        <v>1282</v>
      </c>
      <c r="E109" t="str">
        <f t="shared" si="2"/>
        <v>2576952JA</v>
      </c>
      <c r="G109" s="29" t="s">
        <v>1413</v>
      </c>
    </row>
    <row r="110" spans="3:7" x14ac:dyDescent="0.35">
      <c r="C110" s="218">
        <v>2576953</v>
      </c>
      <c r="D110" t="s">
        <v>1282</v>
      </c>
      <c r="E110" t="str">
        <f t="shared" si="2"/>
        <v>2576953JA</v>
      </c>
      <c r="G110" s="29" t="s">
        <v>1414</v>
      </c>
    </row>
    <row r="111" spans="3:7" x14ac:dyDescent="0.35">
      <c r="C111" s="218">
        <v>2576954</v>
      </c>
      <c r="D111" t="s">
        <v>1282</v>
      </c>
      <c r="E111" t="str">
        <f t="shared" si="2"/>
        <v>2576954JA</v>
      </c>
      <c r="G111" s="29" t="s">
        <v>1415</v>
      </c>
    </row>
    <row r="112" spans="3:7" x14ac:dyDescent="0.35">
      <c r="C112" s="218">
        <v>2576955</v>
      </c>
      <c r="D112" t="s">
        <v>1282</v>
      </c>
      <c r="E112" t="str">
        <f t="shared" si="2"/>
        <v>2576955JA</v>
      </c>
      <c r="G112" s="29" t="s">
        <v>1416</v>
      </c>
    </row>
    <row r="113" spans="3:8" x14ac:dyDescent="0.35">
      <c r="C113" s="218">
        <v>2576956</v>
      </c>
      <c r="D113" t="s">
        <v>1282</v>
      </c>
      <c r="E113" t="str">
        <f t="shared" si="2"/>
        <v>2576956JA</v>
      </c>
      <c r="G113" s="29" t="s">
        <v>1417</v>
      </c>
    </row>
    <row r="114" spans="3:8" x14ac:dyDescent="0.35">
      <c r="C114" s="218">
        <v>2576957</v>
      </c>
      <c r="D114" t="s">
        <v>1282</v>
      </c>
      <c r="E114" t="str">
        <f t="shared" si="2"/>
        <v>2576957JA</v>
      </c>
      <c r="G114" s="29" t="s">
        <v>1418</v>
      </c>
    </row>
    <row r="115" spans="3:8" x14ac:dyDescent="0.35">
      <c r="C115" s="218">
        <v>2576958</v>
      </c>
      <c r="D115" t="s">
        <v>1282</v>
      </c>
      <c r="E115" t="str">
        <f t="shared" si="2"/>
        <v>2576958JA</v>
      </c>
      <c r="G115" s="29" t="s">
        <v>1419</v>
      </c>
    </row>
    <row r="116" spans="3:8" x14ac:dyDescent="0.35">
      <c r="C116" s="218">
        <v>2576959</v>
      </c>
      <c r="D116" t="s">
        <v>1282</v>
      </c>
      <c r="E116" t="str">
        <f t="shared" si="2"/>
        <v>2576959JA</v>
      </c>
      <c r="G116" s="29" t="s">
        <v>1420</v>
      </c>
    </row>
    <row r="117" spans="3:8" x14ac:dyDescent="0.35">
      <c r="C117" s="218">
        <v>2576960</v>
      </c>
      <c r="D117" t="s">
        <v>1282</v>
      </c>
      <c r="E117" t="str">
        <f t="shared" si="2"/>
        <v>2576960JA</v>
      </c>
      <c r="G117" s="29" t="s">
        <v>1421</v>
      </c>
    </row>
    <row r="118" spans="3:8" x14ac:dyDescent="0.35">
      <c r="C118" s="218">
        <v>2576961</v>
      </c>
      <c r="D118" t="s">
        <v>1282</v>
      </c>
      <c r="E118" t="str">
        <f t="shared" si="2"/>
        <v>2576961JA</v>
      </c>
      <c r="G118" s="29" t="s">
        <v>1422</v>
      </c>
    </row>
    <row r="119" spans="3:8" x14ac:dyDescent="0.35">
      <c r="C119" s="218">
        <v>2576962</v>
      </c>
      <c r="D119" t="s">
        <v>1282</v>
      </c>
      <c r="E119" t="str">
        <f t="shared" si="2"/>
        <v>2576962JA</v>
      </c>
      <c r="G119" s="29" t="s">
        <v>1423</v>
      </c>
    </row>
    <row r="120" spans="3:8" x14ac:dyDescent="0.35">
      <c r="C120" s="218">
        <v>2576963</v>
      </c>
      <c r="D120" t="s">
        <v>1282</v>
      </c>
      <c r="E120" t="str">
        <f t="shared" si="2"/>
        <v>2576963JA</v>
      </c>
      <c r="G120" s="29" t="s">
        <v>1424</v>
      </c>
    </row>
    <row r="121" spans="3:8" x14ac:dyDescent="0.35">
      <c r="C121" s="218">
        <v>2576964</v>
      </c>
      <c r="D121" t="s">
        <v>1282</v>
      </c>
      <c r="E121" t="str">
        <f t="shared" si="2"/>
        <v>2576964JA</v>
      </c>
      <c r="G121" s="29" t="s">
        <v>1425</v>
      </c>
      <c r="H121" s="229">
        <v>45569</v>
      </c>
    </row>
    <row r="122" spans="3:8" x14ac:dyDescent="0.35">
      <c r="C122" s="218">
        <v>2576965</v>
      </c>
      <c r="D122" t="s">
        <v>1282</v>
      </c>
      <c r="E122" s="29" t="str">
        <f t="shared" si="2"/>
        <v>2576965JA</v>
      </c>
      <c r="G122" s="29" t="s">
        <v>1464</v>
      </c>
    </row>
    <row r="123" spans="3:8" x14ac:dyDescent="0.35">
      <c r="C123" s="218">
        <v>2576966</v>
      </c>
      <c r="D123" t="s">
        <v>1282</v>
      </c>
      <c r="E123" s="29" t="str">
        <f t="shared" si="2"/>
        <v>2576966JA</v>
      </c>
      <c r="G123" s="29" t="s">
        <v>1465</v>
      </c>
    </row>
    <row r="124" spans="3:8" x14ac:dyDescent="0.35">
      <c r="C124" s="218">
        <v>2576967</v>
      </c>
      <c r="D124" t="s">
        <v>1282</v>
      </c>
      <c r="E124" s="29" t="str">
        <f t="shared" si="2"/>
        <v>2576967JA</v>
      </c>
      <c r="G124" s="29" t="s">
        <v>1466</v>
      </c>
    </row>
    <row r="125" spans="3:8" x14ac:dyDescent="0.35">
      <c r="C125" s="218">
        <v>2576968</v>
      </c>
      <c r="D125" t="s">
        <v>1282</v>
      </c>
      <c r="E125" s="29" t="str">
        <f t="shared" si="2"/>
        <v>2576968JA</v>
      </c>
      <c r="G125" s="29" t="s">
        <v>1467</v>
      </c>
    </row>
    <row r="126" spans="3:8" x14ac:dyDescent="0.35">
      <c r="C126" s="218">
        <v>2576969</v>
      </c>
      <c r="D126" t="s">
        <v>1282</v>
      </c>
      <c r="E126" s="29" t="str">
        <f t="shared" si="2"/>
        <v>2576969JA</v>
      </c>
      <c r="G126" s="29" t="s">
        <v>1468</v>
      </c>
    </row>
    <row r="127" spans="3:8" x14ac:dyDescent="0.35">
      <c r="C127" s="218">
        <v>2576970</v>
      </c>
      <c r="D127" t="s">
        <v>1282</v>
      </c>
      <c r="E127" s="29" t="str">
        <f t="shared" si="2"/>
        <v>2576970JA</v>
      </c>
      <c r="G127" s="29" t="s">
        <v>1469</v>
      </c>
    </row>
    <row r="128" spans="3:8" x14ac:dyDescent="0.35">
      <c r="C128" s="218">
        <v>2576971</v>
      </c>
      <c r="D128" t="s">
        <v>1282</v>
      </c>
      <c r="E128" s="29" t="str">
        <f t="shared" si="2"/>
        <v>2576971JA</v>
      </c>
      <c r="G128" s="29" t="s">
        <v>1470</v>
      </c>
    </row>
    <row r="129" spans="3:8" x14ac:dyDescent="0.35">
      <c r="C129" s="218">
        <v>2576972</v>
      </c>
      <c r="D129" t="s">
        <v>1282</v>
      </c>
      <c r="E129" s="29" t="str">
        <f t="shared" si="2"/>
        <v>2576972JA</v>
      </c>
      <c r="G129" s="29" t="s">
        <v>1471</v>
      </c>
    </row>
    <row r="130" spans="3:8" x14ac:dyDescent="0.35">
      <c r="C130" s="218">
        <v>2576973</v>
      </c>
      <c r="D130" t="s">
        <v>1282</v>
      </c>
      <c r="E130" s="29" t="str">
        <f t="shared" si="2"/>
        <v>2576973JA</v>
      </c>
      <c r="G130" s="29" t="s">
        <v>1472</v>
      </c>
    </row>
    <row r="131" spans="3:8" x14ac:dyDescent="0.35">
      <c r="C131" s="218">
        <v>2576974</v>
      </c>
      <c r="D131" t="s">
        <v>1282</v>
      </c>
      <c r="E131" s="29" t="str">
        <f t="shared" si="2"/>
        <v>2576974JA</v>
      </c>
      <c r="G131" s="29" t="s">
        <v>1473</v>
      </c>
    </row>
    <row r="132" spans="3:8" x14ac:dyDescent="0.35">
      <c r="C132" s="218">
        <v>2576975</v>
      </c>
      <c r="D132" t="s">
        <v>1282</v>
      </c>
      <c r="E132" s="29" t="str">
        <f t="shared" si="2"/>
        <v>2576975JA</v>
      </c>
      <c r="G132" s="29" t="s">
        <v>1474</v>
      </c>
    </row>
    <row r="133" spans="3:8" x14ac:dyDescent="0.35">
      <c r="C133" s="218">
        <v>2576976</v>
      </c>
      <c r="D133" t="s">
        <v>1282</v>
      </c>
      <c r="E133" s="29" t="str">
        <f t="shared" si="2"/>
        <v>2576976JA</v>
      </c>
      <c r="G133" s="29" t="s">
        <v>1475</v>
      </c>
    </row>
    <row r="134" spans="3:8" x14ac:dyDescent="0.35">
      <c r="C134" s="218">
        <v>2576977</v>
      </c>
      <c r="D134" t="s">
        <v>1282</v>
      </c>
      <c r="E134" s="29" t="str">
        <f t="shared" si="2"/>
        <v>2576977JA</v>
      </c>
      <c r="G134" s="29" t="s">
        <v>1476</v>
      </c>
    </row>
    <row r="135" spans="3:8" x14ac:dyDescent="0.35">
      <c r="C135" s="218">
        <v>2576978</v>
      </c>
      <c r="D135" t="s">
        <v>1282</v>
      </c>
      <c r="E135" s="29" t="str">
        <f t="shared" si="2"/>
        <v>2576978JA</v>
      </c>
      <c r="G135" s="29" t="s">
        <v>1477</v>
      </c>
    </row>
    <row r="136" spans="3:8" x14ac:dyDescent="0.35">
      <c r="C136" s="218">
        <v>2576979</v>
      </c>
      <c r="D136" t="s">
        <v>1282</v>
      </c>
      <c r="E136" s="29" t="str">
        <f t="shared" si="2"/>
        <v>2576979JA</v>
      </c>
      <c r="G136" s="29" t="s">
        <v>1478</v>
      </c>
      <c r="H136" s="229">
        <v>45386</v>
      </c>
    </row>
    <row r="137" spans="3:8" x14ac:dyDescent="0.35">
      <c r="C137" s="218">
        <v>2576980</v>
      </c>
      <c r="D137" t="s">
        <v>1282</v>
      </c>
      <c r="E137" t="str">
        <f t="shared" si="2"/>
        <v>2576980JA</v>
      </c>
    </row>
    <row r="138" spans="3:8" x14ac:dyDescent="0.35">
      <c r="C138" s="218">
        <v>2576981</v>
      </c>
      <c r="D138" t="s">
        <v>1282</v>
      </c>
      <c r="E138" t="str">
        <f t="shared" si="2"/>
        <v>2576981JA</v>
      </c>
    </row>
    <row r="139" spans="3:8" x14ac:dyDescent="0.35">
      <c r="C139" s="218">
        <v>2576982</v>
      </c>
      <c r="D139" t="s">
        <v>1282</v>
      </c>
      <c r="E139" t="str">
        <f t="shared" si="2"/>
        <v>2576982JA</v>
      </c>
    </row>
    <row r="140" spans="3:8" x14ac:dyDescent="0.35">
      <c r="C140" s="218">
        <v>2576983</v>
      </c>
      <c r="D140" t="s">
        <v>1282</v>
      </c>
      <c r="E140" t="str">
        <f t="shared" si="2"/>
        <v>2576983JA</v>
      </c>
    </row>
    <row r="141" spans="3:8" x14ac:dyDescent="0.35">
      <c r="C141" s="218">
        <v>2576984</v>
      </c>
      <c r="D141" t="s">
        <v>1282</v>
      </c>
      <c r="E141" t="str">
        <f t="shared" si="2"/>
        <v>2576984JA</v>
      </c>
    </row>
    <row r="142" spans="3:8" x14ac:dyDescent="0.35">
      <c r="C142" s="218">
        <v>2576985</v>
      </c>
      <c r="D142" t="s">
        <v>1282</v>
      </c>
      <c r="E142" t="str">
        <f t="shared" si="2"/>
        <v>2576985JA</v>
      </c>
    </row>
    <row r="143" spans="3:8" x14ac:dyDescent="0.35">
      <c r="C143" s="218">
        <v>2576986</v>
      </c>
      <c r="D143" t="s">
        <v>1282</v>
      </c>
      <c r="E143" t="str">
        <f t="shared" ref="E143:E181" si="3">C143&amp;D143</f>
        <v>2576986JA</v>
      </c>
    </row>
    <row r="144" spans="3:8" x14ac:dyDescent="0.35">
      <c r="C144" s="218">
        <v>2576987</v>
      </c>
      <c r="D144" t="s">
        <v>1282</v>
      </c>
      <c r="E144" t="str">
        <f t="shared" si="3"/>
        <v>2576987JA</v>
      </c>
    </row>
    <row r="145" spans="3:8" x14ac:dyDescent="0.35">
      <c r="C145" s="218">
        <v>2576988</v>
      </c>
      <c r="D145" t="s">
        <v>1282</v>
      </c>
      <c r="E145" t="str">
        <f t="shared" si="3"/>
        <v>2576988JA</v>
      </c>
      <c r="G145" s="29" t="s">
        <v>1479</v>
      </c>
    </row>
    <row r="146" spans="3:8" x14ac:dyDescent="0.35">
      <c r="C146" s="218">
        <v>2576989</v>
      </c>
      <c r="D146" t="s">
        <v>1282</v>
      </c>
      <c r="E146" t="str">
        <f t="shared" si="3"/>
        <v>2576989JA</v>
      </c>
      <c r="G146" s="29" t="s">
        <v>1480</v>
      </c>
    </row>
    <row r="147" spans="3:8" x14ac:dyDescent="0.35">
      <c r="C147" s="218">
        <v>2576990</v>
      </c>
      <c r="D147" t="s">
        <v>1282</v>
      </c>
      <c r="E147" t="str">
        <f t="shared" si="3"/>
        <v>2576990JA</v>
      </c>
      <c r="G147" s="29" t="s">
        <v>1481</v>
      </c>
    </row>
    <row r="148" spans="3:8" x14ac:dyDescent="0.35">
      <c r="C148" s="218">
        <v>2576991</v>
      </c>
      <c r="D148" t="s">
        <v>1282</v>
      </c>
      <c r="E148" t="str">
        <f t="shared" si="3"/>
        <v>2576991JA</v>
      </c>
      <c r="G148" s="29" t="s">
        <v>1482</v>
      </c>
    </row>
    <row r="149" spans="3:8" x14ac:dyDescent="0.35">
      <c r="C149" s="218">
        <v>2576992</v>
      </c>
      <c r="D149" t="s">
        <v>1282</v>
      </c>
      <c r="E149" t="str">
        <f t="shared" si="3"/>
        <v>2576992JA</v>
      </c>
      <c r="G149" s="29" t="s">
        <v>1483</v>
      </c>
    </row>
    <row r="150" spans="3:8" x14ac:dyDescent="0.35">
      <c r="C150" s="218">
        <v>2576993</v>
      </c>
      <c r="D150" t="s">
        <v>1282</v>
      </c>
      <c r="E150" t="str">
        <f t="shared" si="3"/>
        <v>2576993JA</v>
      </c>
      <c r="G150" s="29" t="s">
        <v>1484</v>
      </c>
    </row>
    <row r="151" spans="3:8" x14ac:dyDescent="0.35">
      <c r="C151" s="218">
        <v>2576994</v>
      </c>
      <c r="D151" t="s">
        <v>1282</v>
      </c>
      <c r="E151" t="str">
        <f t="shared" si="3"/>
        <v>2576994JA</v>
      </c>
      <c r="G151" s="29" t="s">
        <v>1485</v>
      </c>
    </row>
    <row r="152" spans="3:8" x14ac:dyDescent="0.35">
      <c r="C152" s="218">
        <v>2576995</v>
      </c>
      <c r="D152" t="s">
        <v>1282</v>
      </c>
      <c r="E152" t="str">
        <f t="shared" si="3"/>
        <v>2576995JA</v>
      </c>
      <c r="G152" s="29" t="s">
        <v>1486</v>
      </c>
    </row>
    <row r="153" spans="3:8" x14ac:dyDescent="0.35">
      <c r="C153" s="218">
        <v>2576996</v>
      </c>
      <c r="D153" t="s">
        <v>1282</v>
      </c>
      <c r="E153" t="str">
        <f t="shared" si="3"/>
        <v>2576996JA</v>
      </c>
      <c r="G153" s="29" t="s">
        <v>1487</v>
      </c>
    </row>
    <row r="154" spans="3:8" x14ac:dyDescent="0.35">
      <c r="C154" s="218">
        <v>2576997</v>
      </c>
      <c r="D154" t="s">
        <v>1282</v>
      </c>
      <c r="E154" t="str">
        <f t="shared" si="3"/>
        <v>2576997JA</v>
      </c>
      <c r="G154" s="29" t="s">
        <v>1488</v>
      </c>
    </row>
    <row r="155" spans="3:8" x14ac:dyDescent="0.35">
      <c r="C155" s="218">
        <v>2576998</v>
      </c>
      <c r="D155" t="s">
        <v>1282</v>
      </c>
      <c r="E155" t="str">
        <f t="shared" si="3"/>
        <v>2576998JA</v>
      </c>
      <c r="G155" s="29" t="s">
        <v>1489</v>
      </c>
    </row>
    <row r="156" spans="3:8" x14ac:dyDescent="0.35">
      <c r="C156" s="218">
        <v>2576999</v>
      </c>
      <c r="D156" t="s">
        <v>1282</v>
      </c>
      <c r="E156" t="str">
        <f t="shared" si="3"/>
        <v>2576999JA</v>
      </c>
      <c r="G156" s="29" t="s">
        <v>1490</v>
      </c>
    </row>
    <row r="157" spans="3:8" x14ac:dyDescent="0.35">
      <c r="C157" s="218">
        <v>2577000</v>
      </c>
      <c r="D157" t="s">
        <v>1282</v>
      </c>
      <c r="E157" t="str">
        <f t="shared" si="3"/>
        <v>2577000JA</v>
      </c>
      <c r="G157" s="29" t="s">
        <v>1491</v>
      </c>
    </row>
    <row r="158" spans="3:8" x14ac:dyDescent="0.35">
      <c r="C158" s="218">
        <v>2577001</v>
      </c>
      <c r="D158" t="s">
        <v>1282</v>
      </c>
      <c r="E158" t="str">
        <f t="shared" si="3"/>
        <v>2577001JA</v>
      </c>
      <c r="G158" s="29" t="s">
        <v>1492</v>
      </c>
    </row>
    <row r="159" spans="3:8" x14ac:dyDescent="0.35">
      <c r="C159" s="218">
        <v>2577002</v>
      </c>
      <c r="D159" t="s">
        <v>1282</v>
      </c>
      <c r="E159" t="str">
        <f t="shared" si="3"/>
        <v>2577002JA</v>
      </c>
      <c r="G159" s="29" t="s">
        <v>1493</v>
      </c>
      <c r="H159" s="230">
        <v>776324</v>
      </c>
    </row>
    <row r="160" spans="3:8" x14ac:dyDescent="0.35">
      <c r="C160" s="218">
        <v>2577003</v>
      </c>
      <c r="D160" t="s">
        <v>1282</v>
      </c>
      <c r="E160" t="str">
        <f t="shared" si="3"/>
        <v>2577003JA</v>
      </c>
    </row>
    <row r="161" spans="3:5" x14ac:dyDescent="0.35">
      <c r="C161" s="218">
        <v>2577004</v>
      </c>
      <c r="D161" t="s">
        <v>1282</v>
      </c>
      <c r="E161" t="str">
        <f t="shared" si="3"/>
        <v>2577004JA</v>
      </c>
    </row>
    <row r="162" spans="3:5" x14ac:dyDescent="0.35">
      <c r="C162" s="218">
        <v>2577005</v>
      </c>
      <c r="D162" t="s">
        <v>1282</v>
      </c>
      <c r="E162" t="str">
        <f t="shared" si="3"/>
        <v>2577005JA</v>
      </c>
    </row>
    <row r="163" spans="3:5" x14ac:dyDescent="0.35">
      <c r="C163" s="218">
        <v>2577006</v>
      </c>
      <c r="D163" t="s">
        <v>1282</v>
      </c>
      <c r="E163" t="str">
        <f t="shared" si="3"/>
        <v>2577006JA</v>
      </c>
    </row>
    <row r="164" spans="3:5" x14ac:dyDescent="0.35">
      <c r="C164" s="218">
        <v>2577007</v>
      </c>
      <c r="D164" t="s">
        <v>1282</v>
      </c>
      <c r="E164" t="str">
        <f t="shared" si="3"/>
        <v>2577007JA</v>
      </c>
    </row>
    <row r="165" spans="3:5" x14ac:dyDescent="0.35">
      <c r="C165" s="218">
        <v>2577008</v>
      </c>
      <c r="D165" t="s">
        <v>1282</v>
      </c>
      <c r="E165" t="str">
        <f t="shared" si="3"/>
        <v>2577008JA</v>
      </c>
    </row>
    <row r="166" spans="3:5" x14ac:dyDescent="0.35">
      <c r="C166" s="218">
        <v>2577009</v>
      </c>
      <c r="D166" t="s">
        <v>1282</v>
      </c>
      <c r="E166" t="str">
        <f t="shared" si="3"/>
        <v>2577009JA</v>
      </c>
    </row>
    <row r="167" spans="3:5" x14ac:dyDescent="0.35">
      <c r="C167" s="218">
        <v>2577010</v>
      </c>
      <c r="D167" t="s">
        <v>1282</v>
      </c>
      <c r="E167" t="str">
        <f t="shared" si="3"/>
        <v>2577010JA</v>
      </c>
    </row>
    <row r="168" spans="3:5" x14ac:dyDescent="0.35">
      <c r="C168" s="218">
        <v>2577011</v>
      </c>
      <c r="D168" t="s">
        <v>1282</v>
      </c>
      <c r="E168" t="str">
        <f t="shared" si="3"/>
        <v>2577011JA</v>
      </c>
    </row>
    <row r="169" spans="3:5" x14ac:dyDescent="0.35">
      <c r="C169" s="218">
        <v>2577012</v>
      </c>
      <c r="D169" t="s">
        <v>1282</v>
      </c>
      <c r="E169" t="str">
        <f t="shared" si="3"/>
        <v>2577012JA</v>
      </c>
    </row>
    <row r="170" spans="3:5" x14ac:dyDescent="0.35">
      <c r="C170" s="218">
        <v>2577013</v>
      </c>
      <c r="D170" t="s">
        <v>1282</v>
      </c>
      <c r="E170" t="str">
        <f t="shared" si="3"/>
        <v>2577013JA</v>
      </c>
    </row>
    <row r="171" spans="3:5" x14ac:dyDescent="0.35">
      <c r="C171" s="218">
        <v>2577014</v>
      </c>
      <c r="D171" t="s">
        <v>1282</v>
      </c>
      <c r="E171" t="str">
        <f t="shared" si="3"/>
        <v>2577014JA</v>
      </c>
    </row>
    <row r="172" spans="3:5" x14ac:dyDescent="0.35">
      <c r="C172" s="218">
        <v>2577015</v>
      </c>
      <c r="D172" t="s">
        <v>1282</v>
      </c>
      <c r="E172" t="str">
        <f t="shared" si="3"/>
        <v>2577015JA</v>
      </c>
    </row>
    <row r="173" spans="3:5" x14ac:dyDescent="0.35">
      <c r="C173" s="218">
        <v>2577016</v>
      </c>
      <c r="D173" t="s">
        <v>1282</v>
      </c>
      <c r="E173" t="str">
        <f t="shared" si="3"/>
        <v>2577016JA</v>
      </c>
    </row>
    <row r="174" spans="3:5" x14ac:dyDescent="0.35">
      <c r="C174" s="218">
        <v>2577017</v>
      </c>
      <c r="D174" t="s">
        <v>1282</v>
      </c>
      <c r="E174" t="str">
        <f t="shared" si="3"/>
        <v>2577017JA</v>
      </c>
    </row>
    <row r="175" spans="3:5" x14ac:dyDescent="0.35">
      <c r="C175" s="218">
        <v>2577018</v>
      </c>
      <c r="D175" t="s">
        <v>1282</v>
      </c>
      <c r="E175" t="str">
        <f t="shared" si="3"/>
        <v>2577018JA</v>
      </c>
    </row>
    <row r="176" spans="3:5" x14ac:dyDescent="0.35">
      <c r="C176" s="218">
        <v>2577019</v>
      </c>
      <c r="D176" t="s">
        <v>1282</v>
      </c>
      <c r="E176" t="str">
        <f t="shared" si="3"/>
        <v>2577019JA</v>
      </c>
    </row>
    <row r="177" spans="3:5" x14ac:dyDescent="0.35">
      <c r="C177" s="218">
        <v>2577020</v>
      </c>
      <c r="D177" t="s">
        <v>1282</v>
      </c>
      <c r="E177" t="str">
        <f t="shared" si="3"/>
        <v>2577020JA</v>
      </c>
    </row>
    <row r="178" spans="3:5" x14ac:dyDescent="0.35">
      <c r="C178" s="218">
        <v>2577021</v>
      </c>
      <c r="D178" t="s">
        <v>1282</v>
      </c>
      <c r="E178" t="str">
        <f t="shared" si="3"/>
        <v>2577021JA</v>
      </c>
    </row>
    <row r="179" spans="3:5" x14ac:dyDescent="0.35">
      <c r="C179" s="218">
        <v>2577022</v>
      </c>
      <c r="D179" t="s">
        <v>1282</v>
      </c>
      <c r="E179" t="str">
        <f t="shared" si="3"/>
        <v>2577022JA</v>
      </c>
    </row>
    <row r="180" spans="3:5" x14ac:dyDescent="0.35">
      <c r="C180" s="218">
        <v>2577023</v>
      </c>
      <c r="D180" t="s">
        <v>1282</v>
      </c>
      <c r="E180" t="str">
        <f t="shared" si="3"/>
        <v>2577023JA</v>
      </c>
    </row>
    <row r="181" spans="3:5" x14ac:dyDescent="0.35">
      <c r="C181" s="218">
        <v>2577024</v>
      </c>
      <c r="D181" t="s">
        <v>1282</v>
      </c>
      <c r="E181" t="str">
        <f t="shared" si="3"/>
        <v>2577024JA</v>
      </c>
    </row>
    <row r="182" spans="3:5" x14ac:dyDescent="0.35">
      <c r="C182" s="218">
        <v>2577025</v>
      </c>
      <c r="D182" t="s">
        <v>1282</v>
      </c>
    </row>
    <row r="183" spans="3:5" x14ac:dyDescent="0.35">
      <c r="C183" s="218">
        <v>2577026</v>
      </c>
      <c r="D183" t="s">
        <v>1282</v>
      </c>
    </row>
    <row r="184" spans="3:5" x14ac:dyDescent="0.35">
      <c r="C184" s="218">
        <v>2577027</v>
      </c>
      <c r="D184" t="s">
        <v>1282</v>
      </c>
    </row>
    <row r="185" spans="3:5" x14ac:dyDescent="0.35">
      <c r="C185" s="218">
        <v>2577028</v>
      </c>
      <c r="D185" t="s">
        <v>1282</v>
      </c>
    </row>
    <row r="186" spans="3:5" x14ac:dyDescent="0.35">
      <c r="C186" s="218">
        <v>2577029</v>
      </c>
      <c r="D186" t="s">
        <v>1282</v>
      </c>
    </row>
    <row r="187" spans="3:5" x14ac:dyDescent="0.35">
      <c r="C187" s="218">
        <v>2577030</v>
      </c>
      <c r="D187" t="s">
        <v>1282</v>
      </c>
    </row>
    <row r="188" spans="3:5" x14ac:dyDescent="0.35">
      <c r="C188" s="218">
        <v>2577031</v>
      </c>
      <c r="D188" t="s">
        <v>1282</v>
      </c>
    </row>
    <row r="189" spans="3:5" x14ac:dyDescent="0.35">
      <c r="C189" s="218">
        <v>2577032</v>
      </c>
      <c r="D189" t="s">
        <v>1282</v>
      </c>
    </row>
    <row r="190" spans="3:5" x14ac:dyDescent="0.35">
      <c r="C190" s="218">
        <v>2577033</v>
      </c>
      <c r="D190" t="s">
        <v>1282</v>
      </c>
    </row>
    <row r="191" spans="3:5" x14ac:dyDescent="0.35">
      <c r="C191" s="218">
        <v>2577034</v>
      </c>
      <c r="D191" t="s">
        <v>1282</v>
      </c>
    </row>
    <row r="192" spans="3:5" x14ac:dyDescent="0.35">
      <c r="C192" s="218">
        <v>2577035</v>
      </c>
      <c r="D192" t="s">
        <v>1282</v>
      </c>
    </row>
    <row r="193" spans="3:4" x14ac:dyDescent="0.35">
      <c r="C193" s="218">
        <v>2577036</v>
      </c>
      <c r="D193" t="s">
        <v>1282</v>
      </c>
    </row>
    <row r="194" spans="3:4" x14ac:dyDescent="0.35">
      <c r="C194" s="218">
        <v>2577037</v>
      </c>
      <c r="D194" t="s">
        <v>1282</v>
      </c>
    </row>
    <row r="195" spans="3:4" x14ac:dyDescent="0.35">
      <c r="C195" s="218">
        <v>2577038</v>
      </c>
      <c r="D195" t="s">
        <v>1282</v>
      </c>
    </row>
    <row r="196" spans="3:4" x14ac:dyDescent="0.35">
      <c r="C196" s="218">
        <v>2577039</v>
      </c>
      <c r="D196" t="s">
        <v>1282</v>
      </c>
    </row>
    <row r="197" spans="3:4" x14ac:dyDescent="0.35">
      <c r="C197" s="218">
        <v>2577040</v>
      </c>
      <c r="D197" t="s">
        <v>1282</v>
      </c>
    </row>
    <row r="198" spans="3:4" x14ac:dyDescent="0.35">
      <c r="C198" s="218">
        <v>2577041</v>
      </c>
      <c r="D198" t="s">
        <v>1282</v>
      </c>
    </row>
    <row r="199" spans="3:4" x14ac:dyDescent="0.35">
      <c r="C199" s="218">
        <v>2577042</v>
      </c>
      <c r="D199" t="s">
        <v>1282</v>
      </c>
    </row>
    <row r="200" spans="3:4" x14ac:dyDescent="0.35">
      <c r="C200" s="218">
        <v>2577043</v>
      </c>
      <c r="D200" t="s">
        <v>1282</v>
      </c>
    </row>
    <row r="201" spans="3:4" x14ac:dyDescent="0.35">
      <c r="C201" s="218">
        <v>2577044</v>
      </c>
      <c r="D201" t="s">
        <v>1282</v>
      </c>
    </row>
    <row r="202" spans="3:4" x14ac:dyDescent="0.35">
      <c r="C202" s="218">
        <v>2577045</v>
      </c>
      <c r="D202" t="s">
        <v>1282</v>
      </c>
    </row>
    <row r="203" spans="3:4" x14ac:dyDescent="0.35">
      <c r="C203" s="218">
        <v>2577046</v>
      </c>
      <c r="D203" t="s">
        <v>1282</v>
      </c>
    </row>
    <row r="204" spans="3:4" x14ac:dyDescent="0.35">
      <c r="C204" s="218">
        <v>2577047</v>
      </c>
      <c r="D204" t="s">
        <v>1282</v>
      </c>
    </row>
    <row r="205" spans="3:4" x14ac:dyDescent="0.35">
      <c r="C205" s="218">
        <v>2577048</v>
      </c>
      <c r="D205" t="s">
        <v>1282</v>
      </c>
    </row>
    <row r="206" spans="3:4" x14ac:dyDescent="0.35">
      <c r="C206" s="218">
        <v>2577049</v>
      </c>
      <c r="D206" t="s">
        <v>1282</v>
      </c>
    </row>
    <row r="207" spans="3:4" x14ac:dyDescent="0.35">
      <c r="C207" s="218">
        <v>2577050</v>
      </c>
      <c r="D207" t="s">
        <v>1282</v>
      </c>
    </row>
    <row r="208" spans="3:4" x14ac:dyDescent="0.35">
      <c r="C208" s="218">
        <v>2577051</v>
      </c>
      <c r="D208" t="s">
        <v>1282</v>
      </c>
    </row>
    <row r="209" spans="3:4" x14ac:dyDescent="0.35">
      <c r="C209" s="218">
        <v>2577052</v>
      </c>
      <c r="D209" t="s">
        <v>1282</v>
      </c>
    </row>
    <row r="210" spans="3:4" x14ac:dyDescent="0.35">
      <c r="C210" s="218">
        <v>2577053</v>
      </c>
      <c r="D210" t="s">
        <v>1282</v>
      </c>
    </row>
    <row r="211" spans="3:4" x14ac:dyDescent="0.35">
      <c r="C211" s="218">
        <v>2577054</v>
      </c>
      <c r="D211" t="s">
        <v>1282</v>
      </c>
    </row>
    <row r="212" spans="3:4" x14ac:dyDescent="0.35">
      <c r="C212" s="218">
        <v>2577055</v>
      </c>
      <c r="D212" t="s">
        <v>1282</v>
      </c>
    </row>
    <row r="213" spans="3:4" x14ac:dyDescent="0.35">
      <c r="C213" s="218">
        <v>2577056</v>
      </c>
      <c r="D213" t="s">
        <v>1282</v>
      </c>
    </row>
    <row r="214" spans="3:4" x14ac:dyDescent="0.35">
      <c r="C214" s="218">
        <v>2577057</v>
      </c>
      <c r="D214" t="s">
        <v>1282</v>
      </c>
    </row>
    <row r="215" spans="3:4" x14ac:dyDescent="0.35">
      <c r="C215" s="218">
        <v>2577058</v>
      </c>
      <c r="D215" t="s">
        <v>1282</v>
      </c>
    </row>
    <row r="216" spans="3:4" x14ac:dyDescent="0.35">
      <c r="C216" s="218">
        <v>2577059</v>
      </c>
      <c r="D216" t="s">
        <v>1282</v>
      </c>
    </row>
    <row r="217" spans="3:4" x14ac:dyDescent="0.35">
      <c r="C217" s="218">
        <v>2577060</v>
      </c>
      <c r="D217" t="s">
        <v>1282</v>
      </c>
    </row>
    <row r="218" spans="3:4" x14ac:dyDescent="0.35">
      <c r="C218" s="218">
        <v>2577061</v>
      </c>
      <c r="D218" t="s">
        <v>1282</v>
      </c>
    </row>
    <row r="219" spans="3:4" x14ac:dyDescent="0.35">
      <c r="C219" s="218">
        <v>2577062</v>
      </c>
      <c r="D219" t="s">
        <v>1282</v>
      </c>
    </row>
    <row r="220" spans="3:4" x14ac:dyDescent="0.35">
      <c r="C220" s="218">
        <v>2577063</v>
      </c>
      <c r="D220" t="s">
        <v>1282</v>
      </c>
    </row>
    <row r="221" spans="3:4" x14ac:dyDescent="0.35">
      <c r="C221" s="218">
        <v>2577064</v>
      </c>
      <c r="D221" t="s">
        <v>1282</v>
      </c>
    </row>
    <row r="222" spans="3:4" x14ac:dyDescent="0.35">
      <c r="C222" s="218">
        <v>2577065</v>
      </c>
      <c r="D222" t="s">
        <v>1282</v>
      </c>
    </row>
    <row r="223" spans="3:4" x14ac:dyDescent="0.35">
      <c r="C223" s="218">
        <v>2577066</v>
      </c>
      <c r="D223" t="s">
        <v>1282</v>
      </c>
    </row>
    <row r="224" spans="3:4" x14ac:dyDescent="0.35">
      <c r="C224" s="218">
        <v>2577067</v>
      </c>
      <c r="D224" t="s">
        <v>1282</v>
      </c>
    </row>
    <row r="225" spans="3:4" x14ac:dyDescent="0.35">
      <c r="C225" s="218">
        <v>2577068</v>
      </c>
      <c r="D225" t="s">
        <v>1282</v>
      </c>
    </row>
    <row r="226" spans="3:4" x14ac:dyDescent="0.35">
      <c r="C226" s="218">
        <v>2577069</v>
      </c>
      <c r="D226" t="s">
        <v>1282</v>
      </c>
    </row>
    <row r="227" spans="3:4" x14ac:dyDescent="0.35">
      <c r="C227" s="218">
        <v>2577070</v>
      </c>
      <c r="D227" t="s">
        <v>1282</v>
      </c>
    </row>
    <row r="228" spans="3:4" x14ac:dyDescent="0.35">
      <c r="C228" s="218">
        <v>2577071</v>
      </c>
      <c r="D228" t="s">
        <v>1282</v>
      </c>
    </row>
    <row r="229" spans="3:4" x14ac:dyDescent="0.35">
      <c r="C229" s="218">
        <v>2577072</v>
      </c>
      <c r="D229" t="s">
        <v>1282</v>
      </c>
    </row>
    <row r="230" spans="3:4" x14ac:dyDescent="0.35">
      <c r="C230" s="218">
        <v>2577073</v>
      </c>
      <c r="D230" t="s">
        <v>1282</v>
      </c>
    </row>
    <row r="231" spans="3:4" x14ac:dyDescent="0.35">
      <c r="C231" s="218">
        <v>2577074</v>
      </c>
      <c r="D231" t="s">
        <v>1282</v>
      </c>
    </row>
    <row r="232" spans="3:4" x14ac:dyDescent="0.35">
      <c r="C232" s="218">
        <v>2577075</v>
      </c>
      <c r="D232" t="s">
        <v>1282</v>
      </c>
    </row>
    <row r="233" spans="3:4" x14ac:dyDescent="0.35">
      <c r="C233" s="218">
        <v>2577076</v>
      </c>
      <c r="D233" t="s">
        <v>1282</v>
      </c>
    </row>
    <row r="234" spans="3:4" x14ac:dyDescent="0.35">
      <c r="C234" s="218">
        <v>2577077</v>
      </c>
      <c r="D234" t="s">
        <v>1282</v>
      </c>
    </row>
    <row r="235" spans="3:4" x14ac:dyDescent="0.35">
      <c r="C235" s="218">
        <v>2577078</v>
      </c>
      <c r="D235" t="s">
        <v>1282</v>
      </c>
    </row>
    <row r="236" spans="3:4" x14ac:dyDescent="0.35">
      <c r="C236" s="218">
        <v>2577079</v>
      </c>
      <c r="D236" t="s">
        <v>1282</v>
      </c>
    </row>
    <row r="237" spans="3:4" x14ac:dyDescent="0.35">
      <c r="C237" s="218">
        <v>2577080</v>
      </c>
      <c r="D237" t="s">
        <v>1282</v>
      </c>
    </row>
    <row r="238" spans="3:4" x14ac:dyDescent="0.35">
      <c r="C238" s="218">
        <v>2577081</v>
      </c>
      <c r="D238" t="s">
        <v>1282</v>
      </c>
    </row>
    <row r="239" spans="3:4" x14ac:dyDescent="0.35">
      <c r="C239" s="218">
        <v>2577082</v>
      </c>
      <c r="D239" t="s">
        <v>1282</v>
      </c>
    </row>
    <row r="240" spans="3:4" x14ac:dyDescent="0.35">
      <c r="C240" s="218">
        <v>2577083</v>
      </c>
      <c r="D240" t="s">
        <v>1282</v>
      </c>
    </row>
    <row r="241" spans="3:4" x14ac:dyDescent="0.35">
      <c r="C241" s="218">
        <v>2577084</v>
      </c>
      <c r="D241" t="s">
        <v>1282</v>
      </c>
    </row>
    <row r="242" spans="3:4" x14ac:dyDescent="0.35">
      <c r="C242" s="218">
        <v>2577085</v>
      </c>
      <c r="D242" t="s">
        <v>1282</v>
      </c>
    </row>
    <row r="243" spans="3:4" x14ac:dyDescent="0.35">
      <c r="C243" s="218">
        <v>2577086</v>
      </c>
      <c r="D243" t="s">
        <v>1282</v>
      </c>
    </row>
    <row r="244" spans="3:4" x14ac:dyDescent="0.35">
      <c r="C244" s="218">
        <v>2577087</v>
      </c>
      <c r="D244" t="s">
        <v>1282</v>
      </c>
    </row>
    <row r="245" spans="3:4" x14ac:dyDescent="0.35">
      <c r="C245" s="218">
        <v>2577088</v>
      </c>
      <c r="D245" t="s">
        <v>1282</v>
      </c>
    </row>
    <row r="246" spans="3:4" x14ac:dyDescent="0.35">
      <c r="C246" s="218">
        <v>2577089</v>
      </c>
      <c r="D246" t="s">
        <v>1282</v>
      </c>
    </row>
    <row r="247" spans="3:4" x14ac:dyDescent="0.35">
      <c r="C247" s="218">
        <v>2577090</v>
      </c>
      <c r="D247" t="s">
        <v>1282</v>
      </c>
    </row>
    <row r="248" spans="3:4" x14ac:dyDescent="0.35">
      <c r="C248" s="218">
        <v>2577091</v>
      </c>
      <c r="D248" t="s">
        <v>1282</v>
      </c>
    </row>
    <row r="249" spans="3:4" x14ac:dyDescent="0.35">
      <c r="C249" s="218">
        <v>2577092</v>
      </c>
      <c r="D249" t="s">
        <v>1282</v>
      </c>
    </row>
    <row r="250" spans="3:4" x14ac:dyDescent="0.35">
      <c r="C250" s="218">
        <v>2577093</v>
      </c>
      <c r="D250" t="s">
        <v>1282</v>
      </c>
    </row>
    <row r="251" spans="3:4" x14ac:dyDescent="0.35">
      <c r="C251" s="218">
        <v>2577094</v>
      </c>
      <c r="D251" t="s">
        <v>1282</v>
      </c>
    </row>
    <row r="252" spans="3:4" x14ac:dyDescent="0.35">
      <c r="C252" s="218">
        <v>2577095</v>
      </c>
      <c r="D252" t="s">
        <v>1282</v>
      </c>
    </row>
    <row r="253" spans="3:4" x14ac:dyDescent="0.35">
      <c r="C253" s="218">
        <v>2577096</v>
      </c>
      <c r="D253" t="s">
        <v>1282</v>
      </c>
    </row>
    <row r="254" spans="3:4" x14ac:dyDescent="0.35">
      <c r="C254" s="218">
        <v>2577097</v>
      </c>
      <c r="D254" t="s">
        <v>1282</v>
      </c>
    </row>
    <row r="255" spans="3:4" x14ac:dyDescent="0.35">
      <c r="C255" s="218">
        <v>2577098</v>
      </c>
      <c r="D255" t="s">
        <v>1282</v>
      </c>
    </row>
    <row r="256" spans="3:4" x14ac:dyDescent="0.35">
      <c r="C256" s="218">
        <v>2577099</v>
      </c>
      <c r="D256" t="s">
        <v>1282</v>
      </c>
    </row>
    <row r="257" spans="3:4" x14ac:dyDescent="0.35">
      <c r="C257" s="218">
        <v>2577100</v>
      </c>
      <c r="D257" t="s">
        <v>1282</v>
      </c>
    </row>
    <row r="258" spans="3:4" x14ac:dyDescent="0.35">
      <c r="C258" s="218">
        <v>2577101</v>
      </c>
      <c r="D258" t="s">
        <v>1282</v>
      </c>
    </row>
    <row r="259" spans="3:4" x14ac:dyDescent="0.35">
      <c r="C259" s="218">
        <v>2577102</v>
      </c>
      <c r="D259" t="s">
        <v>1282</v>
      </c>
    </row>
    <row r="260" spans="3:4" x14ac:dyDescent="0.35">
      <c r="C260" s="218">
        <v>2577103</v>
      </c>
      <c r="D260" t="s">
        <v>1282</v>
      </c>
    </row>
    <row r="261" spans="3:4" x14ac:dyDescent="0.35">
      <c r="C261" s="218">
        <v>2577104</v>
      </c>
      <c r="D261" t="s">
        <v>1282</v>
      </c>
    </row>
    <row r="262" spans="3:4" x14ac:dyDescent="0.35">
      <c r="C262" s="218">
        <v>2577105</v>
      </c>
      <c r="D262" t="s">
        <v>1282</v>
      </c>
    </row>
    <row r="263" spans="3:4" x14ac:dyDescent="0.35">
      <c r="C263" s="218">
        <v>2577106</v>
      </c>
      <c r="D263" t="s">
        <v>1282</v>
      </c>
    </row>
    <row r="264" spans="3:4" x14ac:dyDescent="0.35">
      <c r="C264" s="218">
        <v>2577107</v>
      </c>
      <c r="D264" t="s">
        <v>1282</v>
      </c>
    </row>
    <row r="265" spans="3:4" x14ac:dyDescent="0.35">
      <c r="C265" s="218">
        <v>2577108</v>
      </c>
      <c r="D265" t="s">
        <v>1282</v>
      </c>
    </row>
    <row r="266" spans="3:4" x14ac:dyDescent="0.35">
      <c r="C266" s="218">
        <v>2577109</v>
      </c>
      <c r="D266" t="s">
        <v>1282</v>
      </c>
    </row>
    <row r="267" spans="3:4" x14ac:dyDescent="0.35">
      <c r="C267" s="218">
        <v>2577110</v>
      </c>
      <c r="D267" t="s">
        <v>1282</v>
      </c>
    </row>
    <row r="268" spans="3:4" x14ac:dyDescent="0.35">
      <c r="C268" s="218">
        <v>2577111</v>
      </c>
      <c r="D268" t="s">
        <v>1282</v>
      </c>
    </row>
    <row r="269" spans="3:4" x14ac:dyDescent="0.35">
      <c r="C269" s="218">
        <v>2577112</v>
      </c>
      <c r="D269" t="s">
        <v>1282</v>
      </c>
    </row>
    <row r="270" spans="3:4" x14ac:dyDescent="0.35">
      <c r="C270" s="218">
        <v>2577113</v>
      </c>
      <c r="D270" t="s">
        <v>1282</v>
      </c>
    </row>
    <row r="271" spans="3:4" x14ac:dyDescent="0.35">
      <c r="C271" s="218">
        <v>2577114</v>
      </c>
      <c r="D271" t="s">
        <v>1282</v>
      </c>
    </row>
    <row r="272" spans="3:4" x14ac:dyDescent="0.35">
      <c r="C272" s="218">
        <v>2577115</v>
      </c>
      <c r="D272" t="s">
        <v>1282</v>
      </c>
    </row>
    <row r="273" spans="3:4" x14ac:dyDescent="0.35">
      <c r="C273" s="218">
        <v>2577116</v>
      </c>
      <c r="D273" t="s">
        <v>1282</v>
      </c>
    </row>
    <row r="274" spans="3:4" x14ac:dyDescent="0.35">
      <c r="C274" s="218">
        <v>2577117</v>
      </c>
      <c r="D274" t="s">
        <v>1282</v>
      </c>
    </row>
    <row r="275" spans="3:4" x14ac:dyDescent="0.35">
      <c r="C275" s="218">
        <v>2577118</v>
      </c>
      <c r="D275" t="s">
        <v>1282</v>
      </c>
    </row>
    <row r="276" spans="3:4" x14ac:dyDescent="0.35">
      <c r="C276" s="218">
        <v>2577119</v>
      </c>
      <c r="D276" t="s">
        <v>1282</v>
      </c>
    </row>
    <row r="277" spans="3:4" x14ac:dyDescent="0.35">
      <c r="C277" s="218">
        <v>2577120</v>
      </c>
      <c r="D277" t="s">
        <v>1282</v>
      </c>
    </row>
    <row r="278" spans="3:4" x14ac:dyDescent="0.35">
      <c r="C278" s="218">
        <v>2577121</v>
      </c>
      <c r="D278" t="s">
        <v>1282</v>
      </c>
    </row>
    <row r="279" spans="3:4" x14ac:dyDescent="0.35">
      <c r="C279" s="218">
        <v>2577122</v>
      </c>
      <c r="D279" t="s">
        <v>1282</v>
      </c>
    </row>
    <row r="280" spans="3:4" x14ac:dyDescent="0.35">
      <c r="C280" s="218">
        <v>2577123</v>
      </c>
      <c r="D280" t="s">
        <v>1282</v>
      </c>
    </row>
    <row r="281" spans="3:4" x14ac:dyDescent="0.35">
      <c r="C281" s="218">
        <v>2577124</v>
      </c>
      <c r="D281" t="s">
        <v>1282</v>
      </c>
    </row>
    <row r="282" spans="3:4" x14ac:dyDescent="0.35">
      <c r="C282" s="218">
        <v>2577125</v>
      </c>
      <c r="D282" t="s">
        <v>1282</v>
      </c>
    </row>
    <row r="283" spans="3:4" x14ac:dyDescent="0.35">
      <c r="C283" s="218">
        <v>2577126</v>
      </c>
      <c r="D283" t="s">
        <v>1282</v>
      </c>
    </row>
    <row r="284" spans="3:4" x14ac:dyDescent="0.35">
      <c r="C284" s="218">
        <v>2577127</v>
      </c>
      <c r="D284" t="s">
        <v>1282</v>
      </c>
    </row>
    <row r="285" spans="3:4" x14ac:dyDescent="0.35">
      <c r="C285" s="218">
        <v>2577128</v>
      </c>
      <c r="D285" t="s">
        <v>1282</v>
      </c>
    </row>
    <row r="286" spans="3:4" x14ac:dyDescent="0.35">
      <c r="C286" s="218">
        <v>2577129</v>
      </c>
      <c r="D286" t="s">
        <v>1282</v>
      </c>
    </row>
    <row r="287" spans="3:4" x14ac:dyDescent="0.35">
      <c r="C287" s="218">
        <v>2577130</v>
      </c>
      <c r="D287" t="s">
        <v>1282</v>
      </c>
    </row>
    <row r="288" spans="3:4" x14ac:dyDescent="0.35">
      <c r="C288" s="218">
        <v>2577131</v>
      </c>
      <c r="D288" t="s">
        <v>1282</v>
      </c>
    </row>
    <row r="289" spans="3:4" x14ac:dyDescent="0.35">
      <c r="C289" s="218">
        <v>2577132</v>
      </c>
      <c r="D289" t="s">
        <v>1282</v>
      </c>
    </row>
    <row r="290" spans="3:4" x14ac:dyDescent="0.35">
      <c r="C290" s="218">
        <v>2577133</v>
      </c>
      <c r="D290" t="s">
        <v>1282</v>
      </c>
    </row>
    <row r="291" spans="3:4" x14ac:dyDescent="0.35">
      <c r="C291" s="218">
        <v>2577134</v>
      </c>
      <c r="D291" t="s">
        <v>1282</v>
      </c>
    </row>
    <row r="292" spans="3:4" x14ac:dyDescent="0.35">
      <c r="C292" s="218">
        <v>2577135</v>
      </c>
      <c r="D292" t="s">
        <v>1282</v>
      </c>
    </row>
    <row r="293" spans="3:4" x14ac:dyDescent="0.35">
      <c r="C293" s="218">
        <v>2577136</v>
      </c>
      <c r="D293" t="s">
        <v>1282</v>
      </c>
    </row>
    <row r="294" spans="3:4" x14ac:dyDescent="0.35">
      <c r="C294" s="218">
        <v>2577137</v>
      </c>
      <c r="D294" t="s">
        <v>1282</v>
      </c>
    </row>
    <row r="295" spans="3:4" x14ac:dyDescent="0.35">
      <c r="C295" s="218">
        <v>2577138</v>
      </c>
      <c r="D295" t="s">
        <v>1282</v>
      </c>
    </row>
    <row r="296" spans="3:4" x14ac:dyDescent="0.35">
      <c r="C296" s="218">
        <v>2577139</v>
      </c>
      <c r="D296" t="s">
        <v>1282</v>
      </c>
    </row>
    <row r="297" spans="3:4" x14ac:dyDescent="0.35">
      <c r="C297" s="218">
        <v>2577140</v>
      </c>
      <c r="D297" t="s">
        <v>1282</v>
      </c>
    </row>
    <row r="298" spans="3:4" x14ac:dyDescent="0.35">
      <c r="C298" s="218">
        <v>2577141</v>
      </c>
      <c r="D298" t="s">
        <v>1282</v>
      </c>
    </row>
    <row r="299" spans="3:4" x14ac:dyDescent="0.35">
      <c r="C299" s="218">
        <v>2577142</v>
      </c>
      <c r="D299" t="s">
        <v>1282</v>
      </c>
    </row>
    <row r="300" spans="3:4" x14ac:dyDescent="0.35">
      <c r="C300" s="218">
        <v>2577143</v>
      </c>
      <c r="D300" t="s">
        <v>1282</v>
      </c>
    </row>
    <row r="301" spans="3:4" x14ac:dyDescent="0.35">
      <c r="C301" s="218">
        <v>2577144</v>
      </c>
      <c r="D301" t="s">
        <v>1282</v>
      </c>
    </row>
    <row r="302" spans="3:4" x14ac:dyDescent="0.35">
      <c r="C302" s="218">
        <v>2577145</v>
      </c>
      <c r="D302" t="s">
        <v>1282</v>
      </c>
    </row>
    <row r="303" spans="3:4" x14ac:dyDescent="0.35">
      <c r="C303" s="218">
        <v>2577146</v>
      </c>
      <c r="D303" t="s">
        <v>1282</v>
      </c>
    </row>
    <row r="304" spans="3:4" x14ac:dyDescent="0.35">
      <c r="C304" s="218">
        <v>2577147</v>
      </c>
      <c r="D304" t="s">
        <v>1282</v>
      </c>
    </row>
    <row r="305" spans="3:4" x14ac:dyDescent="0.35">
      <c r="C305" s="218">
        <v>2577148</v>
      </c>
      <c r="D305" t="s">
        <v>1282</v>
      </c>
    </row>
    <row r="306" spans="3:4" x14ac:dyDescent="0.35">
      <c r="C306" s="218">
        <v>2577149</v>
      </c>
      <c r="D306" t="s">
        <v>1282</v>
      </c>
    </row>
    <row r="307" spans="3:4" x14ac:dyDescent="0.35">
      <c r="C307" s="218">
        <v>2577150</v>
      </c>
      <c r="D307" t="s">
        <v>1282</v>
      </c>
    </row>
    <row r="308" spans="3:4" x14ac:dyDescent="0.35">
      <c r="C308" s="218">
        <v>2577151</v>
      </c>
      <c r="D308" t="s">
        <v>1282</v>
      </c>
    </row>
    <row r="309" spans="3:4" x14ac:dyDescent="0.35">
      <c r="C309" s="218">
        <v>2577152</v>
      </c>
      <c r="D309" t="s">
        <v>1282</v>
      </c>
    </row>
    <row r="310" spans="3:4" x14ac:dyDescent="0.35">
      <c r="C310" s="218">
        <v>2577153</v>
      </c>
      <c r="D310" t="s">
        <v>1282</v>
      </c>
    </row>
    <row r="311" spans="3:4" x14ac:dyDescent="0.35">
      <c r="C311" s="218">
        <v>2577154</v>
      </c>
      <c r="D311" t="s">
        <v>1282</v>
      </c>
    </row>
    <row r="312" spans="3:4" x14ac:dyDescent="0.35">
      <c r="C312" s="218">
        <v>2577155</v>
      </c>
      <c r="D312" t="s">
        <v>1282</v>
      </c>
    </row>
    <row r="313" spans="3:4" x14ac:dyDescent="0.35">
      <c r="C313" s="218">
        <v>2577156</v>
      </c>
      <c r="D313" t="s">
        <v>1282</v>
      </c>
    </row>
    <row r="314" spans="3:4" x14ac:dyDescent="0.35">
      <c r="C314" s="218">
        <v>2577157</v>
      </c>
      <c r="D314" t="s">
        <v>1282</v>
      </c>
    </row>
    <row r="315" spans="3:4" x14ac:dyDescent="0.35">
      <c r="C315" s="218">
        <v>2577158</v>
      </c>
      <c r="D315" t="s">
        <v>1282</v>
      </c>
    </row>
    <row r="316" spans="3:4" x14ac:dyDescent="0.35">
      <c r="C316" s="218">
        <v>2577159</v>
      </c>
      <c r="D316" t="s">
        <v>1282</v>
      </c>
    </row>
    <row r="317" spans="3:4" x14ac:dyDescent="0.35">
      <c r="C317" s="218">
        <v>2577160</v>
      </c>
      <c r="D317" t="s">
        <v>1282</v>
      </c>
    </row>
    <row r="318" spans="3:4" x14ac:dyDescent="0.35">
      <c r="C318" s="218">
        <v>2577161</v>
      </c>
      <c r="D318" t="s">
        <v>1282</v>
      </c>
    </row>
    <row r="319" spans="3:4" x14ac:dyDescent="0.35">
      <c r="C319" s="218">
        <v>2577162</v>
      </c>
      <c r="D319" t="s">
        <v>1282</v>
      </c>
    </row>
    <row r="320" spans="3:4" x14ac:dyDescent="0.35">
      <c r="C320" s="218">
        <v>2577163</v>
      </c>
      <c r="D320" t="s">
        <v>1282</v>
      </c>
    </row>
    <row r="321" spans="3:4" x14ac:dyDescent="0.35">
      <c r="C321" s="218">
        <v>2577164</v>
      </c>
      <c r="D321" t="s">
        <v>1282</v>
      </c>
    </row>
    <row r="322" spans="3:4" x14ac:dyDescent="0.35">
      <c r="C322" s="218">
        <v>2577165</v>
      </c>
      <c r="D322" t="s">
        <v>1282</v>
      </c>
    </row>
    <row r="323" spans="3:4" x14ac:dyDescent="0.35">
      <c r="C323" s="218">
        <v>2577166</v>
      </c>
      <c r="D323" t="s">
        <v>1282</v>
      </c>
    </row>
    <row r="324" spans="3:4" x14ac:dyDescent="0.35">
      <c r="C324" s="218">
        <v>2577167</v>
      </c>
      <c r="D324" t="s">
        <v>1282</v>
      </c>
    </row>
    <row r="325" spans="3:4" x14ac:dyDescent="0.35">
      <c r="C325" s="218">
        <v>2577168</v>
      </c>
      <c r="D325" t="s">
        <v>1282</v>
      </c>
    </row>
    <row r="326" spans="3:4" x14ac:dyDescent="0.35">
      <c r="C326" s="218">
        <v>2577169</v>
      </c>
      <c r="D326" t="s">
        <v>1282</v>
      </c>
    </row>
    <row r="327" spans="3:4" x14ac:dyDescent="0.35">
      <c r="C327" s="218">
        <v>2577170</v>
      </c>
      <c r="D327" t="s">
        <v>1282</v>
      </c>
    </row>
    <row r="328" spans="3:4" x14ac:dyDescent="0.35">
      <c r="C328" s="218">
        <v>2577171</v>
      </c>
      <c r="D328" t="s">
        <v>1282</v>
      </c>
    </row>
    <row r="329" spans="3:4" x14ac:dyDescent="0.35">
      <c r="C329" s="218">
        <v>2577172</v>
      </c>
      <c r="D329" t="s">
        <v>1282</v>
      </c>
    </row>
    <row r="330" spans="3:4" x14ac:dyDescent="0.35">
      <c r="C330" s="218">
        <v>2577173</v>
      </c>
      <c r="D330" t="s">
        <v>1282</v>
      </c>
    </row>
    <row r="331" spans="3:4" x14ac:dyDescent="0.35">
      <c r="C331" s="218">
        <v>2577174</v>
      </c>
      <c r="D331" t="s">
        <v>1282</v>
      </c>
    </row>
    <row r="332" spans="3:4" x14ac:dyDescent="0.35">
      <c r="C332" s="218">
        <v>2577175</v>
      </c>
      <c r="D332" t="s">
        <v>1282</v>
      </c>
    </row>
    <row r="333" spans="3:4" x14ac:dyDescent="0.35">
      <c r="C333" s="218">
        <v>2577176</v>
      </c>
      <c r="D333" t="s">
        <v>1282</v>
      </c>
    </row>
    <row r="334" spans="3:4" x14ac:dyDescent="0.35">
      <c r="C334" s="218">
        <v>2577177</v>
      </c>
      <c r="D334" t="s">
        <v>1282</v>
      </c>
    </row>
    <row r="335" spans="3:4" x14ac:dyDescent="0.35">
      <c r="C335" s="218">
        <v>2577178</v>
      </c>
      <c r="D335" t="s">
        <v>1282</v>
      </c>
    </row>
    <row r="336" spans="3:4" x14ac:dyDescent="0.35">
      <c r="C336" s="218">
        <v>2577179</v>
      </c>
      <c r="D336" t="s">
        <v>1282</v>
      </c>
    </row>
    <row r="337" spans="3:4" x14ac:dyDescent="0.35">
      <c r="C337" s="218">
        <v>2577180</v>
      </c>
      <c r="D337" t="s">
        <v>1282</v>
      </c>
    </row>
    <row r="338" spans="3:4" x14ac:dyDescent="0.35">
      <c r="C338" s="218">
        <v>2577181</v>
      </c>
      <c r="D338" t="s">
        <v>1282</v>
      </c>
    </row>
    <row r="339" spans="3:4" x14ac:dyDescent="0.35">
      <c r="C339" s="218">
        <v>2577182</v>
      </c>
      <c r="D339" t="s">
        <v>1282</v>
      </c>
    </row>
    <row r="340" spans="3:4" x14ac:dyDescent="0.35">
      <c r="C340" s="218">
        <v>2577183</v>
      </c>
      <c r="D340" t="s">
        <v>1282</v>
      </c>
    </row>
    <row r="341" spans="3:4" x14ac:dyDescent="0.35">
      <c r="C341" s="218">
        <v>2577184</v>
      </c>
      <c r="D341" t="s">
        <v>1282</v>
      </c>
    </row>
    <row r="342" spans="3:4" x14ac:dyDescent="0.35">
      <c r="C342" s="218">
        <v>2577185</v>
      </c>
      <c r="D342" t="s">
        <v>1282</v>
      </c>
    </row>
    <row r="343" spans="3:4" x14ac:dyDescent="0.35">
      <c r="C343" s="218">
        <v>2577186</v>
      </c>
      <c r="D343" t="s">
        <v>1282</v>
      </c>
    </row>
    <row r="344" spans="3:4" x14ac:dyDescent="0.35">
      <c r="C344" s="218">
        <v>2577187</v>
      </c>
      <c r="D344" t="s">
        <v>1282</v>
      </c>
    </row>
    <row r="345" spans="3:4" x14ac:dyDescent="0.35">
      <c r="C345" s="218">
        <v>2577188</v>
      </c>
      <c r="D345" t="s">
        <v>1282</v>
      </c>
    </row>
    <row r="346" spans="3:4" x14ac:dyDescent="0.35">
      <c r="C346" s="218">
        <v>2577189</v>
      </c>
      <c r="D346" t="s">
        <v>1282</v>
      </c>
    </row>
    <row r="347" spans="3:4" x14ac:dyDescent="0.35">
      <c r="C347" s="218">
        <v>2577190</v>
      </c>
      <c r="D347" t="s">
        <v>1282</v>
      </c>
    </row>
    <row r="348" spans="3:4" x14ac:dyDescent="0.35">
      <c r="C348" s="218">
        <v>2577191</v>
      </c>
      <c r="D348" t="s">
        <v>1282</v>
      </c>
    </row>
    <row r="349" spans="3:4" x14ac:dyDescent="0.35">
      <c r="C349" s="218">
        <v>2577192</v>
      </c>
      <c r="D349" t="s">
        <v>1282</v>
      </c>
    </row>
    <row r="350" spans="3:4" x14ac:dyDescent="0.35">
      <c r="C350" s="218">
        <v>2577193</v>
      </c>
      <c r="D350" t="s">
        <v>1282</v>
      </c>
    </row>
    <row r="351" spans="3:4" x14ac:dyDescent="0.35">
      <c r="C351" s="218">
        <v>2577194</v>
      </c>
      <c r="D351" t="s">
        <v>1282</v>
      </c>
    </row>
    <row r="352" spans="3:4" x14ac:dyDescent="0.35">
      <c r="C352" s="218">
        <v>2577195</v>
      </c>
      <c r="D352" t="s">
        <v>1282</v>
      </c>
    </row>
    <row r="353" spans="3:4" x14ac:dyDescent="0.35">
      <c r="C353" s="218">
        <v>2577196</v>
      </c>
      <c r="D353" t="s">
        <v>1282</v>
      </c>
    </row>
    <row r="354" spans="3:4" x14ac:dyDescent="0.35">
      <c r="C354" s="218">
        <v>2577197</v>
      </c>
      <c r="D354" t="s">
        <v>1282</v>
      </c>
    </row>
    <row r="355" spans="3:4" x14ac:dyDescent="0.35">
      <c r="C355" s="218">
        <v>2577198</v>
      </c>
      <c r="D355" t="s">
        <v>1282</v>
      </c>
    </row>
    <row r="356" spans="3:4" x14ac:dyDescent="0.35">
      <c r="C356" s="218">
        <v>2577199</v>
      </c>
      <c r="D356" t="s">
        <v>1282</v>
      </c>
    </row>
    <row r="357" spans="3:4" x14ac:dyDescent="0.35">
      <c r="C357" s="218">
        <v>2577200</v>
      </c>
      <c r="D357" t="s">
        <v>1282</v>
      </c>
    </row>
    <row r="358" spans="3:4" x14ac:dyDescent="0.35">
      <c r="C358" s="218">
        <v>2577201</v>
      </c>
      <c r="D358" t="s">
        <v>1282</v>
      </c>
    </row>
    <row r="359" spans="3:4" x14ac:dyDescent="0.35">
      <c r="C359" s="218">
        <v>2577202</v>
      </c>
      <c r="D359" t="s">
        <v>1282</v>
      </c>
    </row>
    <row r="360" spans="3:4" x14ac:dyDescent="0.35">
      <c r="C360" s="218">
        <v>2577203</v>
      </c>
      <c r="D360" t="s">
        <v>1282</v>
      </c>
    </row>
    <row r="361" spans="3:4" x14ac:dyDescent="0.35">
      <c r="C361" s="218">
        <v>2577204</v>
      </c>
      <c r="D361" t="s">
        <v>1282</v>
      </c>
    </row>
    <row r="362" spans="3:4" x14ac:dyDescent="0.35">
      <c r="C362" s="218">
        <v>2577205</v>
      </c>
      <c r="D362" t="s">
        <v>1282</v>
      </c>
    </row>
    <row r="363" spans="3:4" x14ac:dyDescent="0.35">
      <c r="C363" s="218">
        <v>2577206</v>
      </c>
      <c r="D363" t="s">
        <v>1282</v>
      </c>
    </row>
    <row r="364" spans="3:4" x14ac:dyDescent="0.35">
      <c r="C364" s="218">
        <v>2577207</v>
      </c>
      <c r="D364" t="s">
        <v>1282</v>
      </c>
    </row>
    <row r="365" spans="3:4" x14ac:dyDescent="0.35">
      <c r="C365" s="218">
        <v>2577208</v>
      </c>
      <c r="D365" t="s">
        <v>1282</v>
      </c>
    </row>
    <row r="366" spans="3:4" x14ac:dyDescent="0.35">
      <c r="C366" s="218">
        <v>2577209</v>
      </c>
      <c r="D366" t="s">
        <v>1282</v>
      </c>
    </row>
    <row r="367" spans="3:4" x14ac:dyDescent="0.35">
      <c r="C367" s="218">
        <v>2577210</v>
      </c>
      <c r="D367" t="s">
        <v>1282</v>
      </c>
    </row>
    <row r="368" spans="3:4" x14ac:dyDescent="0.35">
      <c r="C368" s="218">
        <v>2577211</v>
      </c>
      <c r="D368" t="s">
        <v>1282</v>
      </c>
    </row>
    <row r="369" spans="3:4" x14ac:dyDescent="0.35">
      <c r="C369" s="218">
        <v>2577212</v>
      </c>
      <c r="D369" t="s">
        <v>1282</v>
      </c>
    </row>
    <row r="370" spans="3:4" x14ac:dyDescent="0.35">
      <c r="C370" s="218">
        <v>2577213</v>
      </c>
      <c r="D370" t="s">
        <v>1282</v>
      </c>
    </row>
    <row r="371" spans="3:4" x14ac:dyDescent="0.35">
      <c r="C371" s="218">
        <v>2577214</v>
      </c>
      <c r="D371" t="s">
        <v>1282</v>
      </c>
    </row>
    <row r="372" spans="3:4" x14ac:dyDescent="0.35">
      <c r="C372" s="218">
        <v>2577215</v>
      </c>
      <c r="D372" t="s">
        <v>1282</v>
      </c>
    </row>
    <row r="373" spans="3:4" x14ac:dyDescent="0.35">
      <c r="C373" s="218">
        <v>2577216</v>
      </c>
      <c r="D373" t="s">
        <v>1282</v>
      </c>
    </row>
    <row r="374" spans="3:4" x14ac:dyDescent="0.35">
      <c r="C374" s="218">
        <v>2577217</v>
      </c>
      <c r="D374" t="s">
        <v>1282</v>
      </c>
    </row>
    <row r="375" spans="3:4" x14ac:dyDescent="0.35">
      <c r="C375" s="218">
        <v>2577218</v>
      </c>
      <c r="D375" t="s">
        <v>1282</v>
      </c>
    </row>
    <row r="376" spans="3:4" x14ac:dyDescent="0.35">
      <c r="C376" s="218">
        <v>2577219</v>
      </c>
      <c r="D376" t="s">
        <v>1282</v>
      </c>
    </row>
    <row r="377" spans="3:4" x14ac:dyDescent="0.35">
      <c r="C377" s="218">
        <v>2577220</v>
      </c>
      <c r="D377" t="s">
        <v>1282</v>
      </c>
    </row>
    <row r="378" spans="3:4" x14ac:dyDescent="0.35">
      <c r="C378" s="218">
        <v>2577221</v>
      </c>
      <c r="D378" t="s">
        <v>1282</v>
      </c>
    </row>
    <row r="379" spans="3:4" x14ac:dyDescent="0.35">
      <c r="C379" s="218">
        <v>2577222</v>
      </c>
      <c r="D379" t="s">
        <v>1282</v>
      </c>
    </row>
    <row r="380" spans="3:4" x14ac:dyDescent="0.35">
      <c r="C380" s="218">
        <v>2577223</v>
      </c>
      <c r="D380" t="s">
        <v>1282</v>
      </c>
    </row>
    <row r="381" spans="3:4" x14ac:dyDescent="0.35">
      <c r="C381" s="218">
        <v>2577224</v>
      </c>
      <c r="D381" t="s">
        <v>1282</v>
      </c>
    </row>
    <row r="382" spans="3:4" x14ac:dyDescent="0.35">
      <c r="C382" s="218">
        <v>2577225</v>
      </c>
      <c r="D382" t="s">
        <v>1282</v>
      </c>
    </row>
    <row r="383" spans="3:4" x14ac:dyDescent="0.35">
      <c r="C383" s="218">
        <v>2577226</v>
      </c>
      <c r="D383" t="s">
        <v>1282</v>
      </c>
    </row>
    <row r="384" spans="3:4" x14ac:dyDescent="0.35">
      <c r="C384" s="218">
        <v>2577227</v>
      </c>
      <c r="D384" t="s">
        <v>1282</v>
      </c>
    </row>
    <row r="385" spans="3:4" x14ac:dyDescent="0.35">
      <c r="C385" s="218">
        <v>2577228</v>
      </c>
      <c r="D385" t="s">
        <v>1282</v>
      </c>
    </row>
    <row r="386" spans="3:4" x14ac:dyDescent="0.35">
      <c r="C386" s="218">
        <v>2577229</v>
      </c>
      <c r="D386" t="s">
        <v>1282</v>
      </c>
    </row>
    <row r="387" spans="3:4" x14ac:dyDescent="0.35">
      <c r="C387" s="218">
        <v>2577230</v>
      </c>
      <c r="D387" t="s">
        <v>1282</v>
      </c>
    </row>
    <row r="388" spans="3:4" x14ac:dyDescent="0.35">
      <c r="C388" s="218">
        <v>2577231</v>
      </c>
      <c r="D388" t="s">
        <v>1282</v>
      </c>
    </row>
    <row r="389" spans="3:4" x14ac:dyDescent="0.35">
      <c r="C389" s="218">
        <v>2577232</v>
      </c>
      <c r="D389" t="s">
        <v>1282</v>
      </c>
    </row>
    <row r="390" spans="3:4" x14ac:dyDescent="0.35">
      <c r="C390" s="218">
        <v>2577233</v>
      </c>
      <c r="D390" t="s">
        <v>1282</v>
      </c>
    </row>
    <row r="391" spans="3:4" x14ac:dyDescent="0.35">
      <c r="C391" s="218">
        <v>2577234</v>
      </c>
      <c r="D391" t="s">
        <v>1282</v>
      </c>
    </row>
    <row r="392" spans="3:4" x14ac:dyDescent="0.35">
      <c r="C392" s="218">
        <v>2577235</v>
      </c>
      <c r="D392" t="s">
        <v>1282</v>
      </c>
    </row>
    <row r="393" spans="3:4" x14ac:dyDescent="0.35">
      <c r="C393" s="218">
        <v>2577236</v>
      </c>
      <c r="D393" t="s">
        <v>1282</v>
      </c>
    </row>
    <row r="394" spans="3:4" x14ac:dyDescent="0.35">
      <c r="C394" s="218">
        <v>2577237</v>
      </c>
      <c r="D394" t="s">
        <v>1282</v>
      </c>
    </row>
    <row r="395" spans="3:4" x14ac:dyDescent="0.35">
      <c r="C395" s="218">
        <v>2577238</v>
      </c>
      <c r="D395" t="s">
        <v>1282</v>
      </c>
    </row>
    <row r="396" spans="3:4" x14ac:dyDescent="0.35">
      <c r="C396" s="218">
        <v>2577239</v>
      </c>
      <c r="D396" t="s">
        <v>1282</v>
      </c>
    </row>
    <row r="397" spans="3:4" x14ac:dyDescent="0.35">
      <c r="C397" s="218">
        <v>2577240</v>
      </c>
      <c r="D397" t="s">
        <v>1282</v>
      </c>
    </row>
    <row r="398" spans="3:4" x14ac:dyDescent="0.35">
      <c r="C398" s="218">
        <v>2577241</v>
      </c>
      <c r="D398" t="s">
        <v>1282</v>
      </c>
    </row>
    <row r="399" spans="3:4" x14ac:dyDescent="0.35">
      <c r="C399" s="218">
        <v>2577242</v>
      </c>
      <c r="D399" t="s">
        <v>1282</v>
      </c>
    </row>
    <row r="400" spans="3:4" x14ac:dyDescent="0.35">
      <c r="C400" s="218">
        <v>2577243</v>
      </c>
      <c r="D400" t="s">
        <v>1282</v>
      </c>
    </row>
    <row r="401" spans="3:4" x14ac:dyDescent="0.35">
      <c r="C401" s="218">
        <v>2577244</v>
      </c>
      <c r="D401" t="s">
        <v>1282</v>
      </c>
    </row>
    <row r="402" spans="3:4" x14ac:dyDescent="0.35">
      <c r="C402" s="218">
        <v>2577245</v>
      </c>
      <c r="D402" t="s">
        <v>1282</v>
      </c>
    </row>
    <row r="403" spans="3:4" x14ac:dyDescent="0.35">
      <c r="C403" s="218">
        <v>2577246</v>
      </c>
      <c r="D403" t="s">
        <v>1282</v>
      </c>
    </row>
    <row r="404" spans="3:4" x14ac:dyDescent="0.35">
      <c r="C404" s="218">
        <v>2577247</v>
      </c>
      <c r="D404" t="s">
        <v>1282</v>
      </c>
    </row>
    <row r="405" spans="3:4" x14ac:dyDescent="0.35">
      <c r="C405" s="218">
        <v>2577248</v>
      </c>
      <c r="D405" t="s">
        <v>1282</v>
      </c>
    </row>
    <row r="406" spans="3:4" x14ac:dyDescent="0.35">
      <c r="C406" s="218">
        <v>2577249</v>
      </c>
      <c r="D406" t="s">
        <v>1282</v>
      </c>
    </row>
    <row r="407" spans="3:4" x14ac:dyDescent="0.35">
      <c r="C407" s="218">
        <v>2577250</v>
      </c>
      <c r="D407" t="s">
        <v>1282</v>
      </c>
    </row>
    <row r="408" spans="3:4" x14ac:dyDescent="0.35">
      <c r="C408" s="218">
        <v>2577251</v>
      </c>
      <c r="D408" t="s">
        <v>1282</v>
      </c>
    </row>
    <row r="409" spans="3:4" x14ac:dyDescent="0.35">
      <c r="C409" s="218">
        <v>2577252</v>
      </c>
      <c r="D409" t="s">
        <v>1282</v>
      </c>
    </row>
    <row r="410" spans="3:4" x14ac:dyDescent="0.35">
      <c r="C410" s="218">
        <v>2577253</v>
      </c>
      <c r="D410" t="s">
        <v>1282</v>
      </c>
    </row>
    <row r="411" spans="3:4" x14ac:dyDescent="0.35">
      <c r="C411" s="218">
        <v>2577254</v>
      </c>
      <c r="D411" t="s">
        <v>1282</v>
      </c>
    </row>
    <row r="412" spans="3:4" x14ac:dyDescent="0.35">
      <c r="C412" s="218">
        <v>2577255</v>
      </c>
      <c r="D412" t="s">
        <v>1282</v>
      </c>
    </row>
    <row r="413" spans="3:4" x14ac:dyDescent="0.35">
      <c r="C413" s="218">
        <v>2577256</v>
      </c>
      <c r="D413" t="s">
        <v>1282</v>
      </c>
    </row>
    <row r="414" spans="3:4" x14ac:dyDescent="0.35">
      <c r="C414" s="218">
        <v>2577257</v>
      </c>
      <c r="D414" t="s">
        <v>1282</v>
      </c>
    </row>
    <row r="415" spans="3:4" x14ac:dyDescent="0.35">
      <c r="C415" s="218">
        <v>2577258</v>
      </c>
      <c r="D415" t="s">
        <v>1282</v>
      </c>
    </row>
    <row r="416" spans="3:4" x14ac:dyDescent="0.35">
      <c r="C416" s="218">
        <v>2577259</v>
      </c>
      <c r="D416" t="s">
        <v>1282</v>
      </c>
    </row>
    <row r="417" spans="3:4" x14ac:dyDescent="0.35">
      <c r="C417" s="218">
        <v>2577260</v>
      </c>
      <c r="D417" t="s">
        <v>1282</v>
      </c>
    </row>
    <row r="418" spans="3:4" x14ac:dyDescent="0.35">
      <c r="C418" s="218">
        <v>2577261</v>
      </c>
      <c r="D418" t="s">
        <v>1282</v>
      </c>
    </row>
    <row r="419" spans="3:4" x14ac:dyDescent="0.35">
      <c r="C419" s="218">
        <v>2577262</v>
      </c>
      <c r="D419" t="s">
        <v>1282</v>
      </c>
    </row>
    <row r="420" spans="3:4" x14ac:dyDescent="0.35">
      <c r="C420" s="218">
        <v>2577263</v>
      </c>
      <c r="D420" t="s">
        <v>1282</v>
      </c>
    </row>
    <row r="421" spans="3:4" x14ac:dyDescent="0.35">
      <c r="C421" s="218">
        <v>2577264</v>
      </c>
      <c r="D421" t="s">
        <v>1282</v>
      </c>
    </row>
    <row r="422" spans="3:4" x14ac:dyDescent="0.35">
      <c r="C422" s="218">
        <v>2577265</v>
      </c>
      <c r="D422" t="s">
        <v>1282</v>
      </c>
    </row>
    <row r="423" spans="3:4" x14ac:dyDescent="0.35">
      <c r="C423" s="218">
        <v>2577266</v>
      </c>
      <c r="D423" t="s">
        <v>1282</v>
      </c>
    </row>
    <row r="424" spans="3:4" x14ac:dyDescent="0.35">
      <c r="C424" s="218">
        <v>2577267</v>
      </c>
      <c r="D424" t="s">
        <v>1282</v>
      </c>
    </row>
    <row r="425" spans="3:4" x14ac:dyDescent="0.35">
      <c r="C425" s="218">
        <v>2577268</v>
      </c>
      <c r="D425" t="s">
        <v>1282</v>
      </c>
    </row>
    <row r="426" spans="3:4" x14ac:dyDescent="0.35">
      <c r="C426" s="218">
        <v>2577269</v>
      </c>
      <c r="D426" t="s">
        <v>1282</v>
      </c>
    </row>
    <row r="427" spans="3:4" x14ac:dyDescent="0.35">
      <c r="C427" s="218">
        <v>2577270</v>
      </c>
      <c r="D427" t="s">
        <v>1282</v>
      </c>
    </row>
    <row r="428" spans="3:4" x14ac:dyDescent="0.35">
      <c r="C428" s="218">
        <v>2577271</v>
      </c>
      <c r="D428" t="s">
        <v>1282</v>
      </c>
    </row>
    <row r="429" spans="3:4" x14ac:dyDescent="0.35">
      <c r="C429" s="218">
        <v>2577272</v>
      </c>
      <c r="D429" t="s">
        <v>1282</v>
      </c>
    </row>
    <row r="430" spans="3:4" x14ac:dyDescent="0.35">
      <c r="C430" s="218">
        <v>2577273</v>
      </c>
      <c r="D430" t="s">
        <v>1282</v>
      </c>
    </row>
    <row r="431" spans="3:4" x14ac:dyDescent="0.35">
      <c r="C431" s="218">
        <v>2577274</v>
      </c>
      <c r="D431" t="s">
        <v>1282</v>
      </c>
    </row>
    <row r="432" spans="3:4" x14ac:dyDescent="0.35">
      <c r="C432" s="218">
        <v>2577275</v>
      </c>
      <c r="D432" t="s">
        <v>1282</v>
      </c>
    </row>
    <row r="433" spans="3:4" x14ac:dyDescent="0.35">
      <c r="C433" s="218">
        <v>2577276</v>
      </c>
      <c r="D433" t="s">
        <v>1282</v>
      </c>
    </row>
    <row r="434" spans="3:4" x14ac:dyDescent="0.35">
      <c r="C434" s="218">
        <v>2577277</v>
      </c>
      <c r="D434" t="s">
        <v>1282</v>
      </c>
    </row>
    <row r="435" spans="3:4" x14ac:dyDescent="0.35">
      <c r="C435" s="218">
        <v>2577278</v>
      </c>
      <c r="D435" t="s">
        <v>1282</v>
      </c>
    </row>
    <row r="436" spans="3:4" x14ac:dyDescent="0.35">
      <c r="C436" s="218">
        <v>2577279</v>
      </c>
      <c r="D436" t="s">
        <v>1282</v>
      </c>
    </row>
    <row r="437" spans="3:4" x14ac:dyDescent="0.35">
      <c r="C437" s="218">
        <v>2577280</v>
      </c>
      <c r="D437" t="s">
        <v>1282</v>
      </c>
    </row>
    <row r="438" spans="3:4" x14ac:dyDescent="0.35">
      <c r="C438" s="218">
        <v>2577281</v>
      </c>
      <c r="D438" t="s">
        <v>1282</v>
      </c>
    </row>
    <row r="439" spans="3:4" x14ac:dyDescent="0.35">
      <c r="C439" s="218">
        <v>2577282</v>
      </c>
      <c r="D439" t="s">
        <v>1282</v>
      </c>
    </row>
    <row r="440" spans="3:4" x14ac:dyDescent="0.35">
      <c r="C440" s="218">
        <v>2577283</v>
      </c>
      <c r="D440" t="s">
        <v>1282</v>
      </c>
    </row>
    <row r="441" spans="3:4" x14ac:dyDescent="0.35">
      <c r="C441" s="218">
        <v>2577284</v>
      </c>
      <c r="D441" t="s">
        <v>1282</v>
      </c>
    </row>
    <row r="442" spans="3:4" x14ac:dyDescent="0.35">
      <c r="C442" s="218">
        <v>2577285</v>
      </c>
      <c r="D442" t="s">
        <v>1282</v>
      </c>
    </row>
    <row r="443" spans="3:4" x14ac:dyDescent="0.35">
      <c r="C443" s="218">
        <v>2577286</v>
      </c>
      <c r="D443" t="s">
        <v>1282</v>
      </c>
    </row>
    <row r="444" spans="3:4" x14ac:dyDescent="0.35">
      <c r="C444" s="218">
        <v>2577287</v>
      </c>
      <c r="D444" t="s">
        <v>1282</v>
      </c>
    </row>
    <row r="445" spans="3:4" x14ac:dyDescent="0.35">
      <c r="C445" s="218">
        <v>2577288</v>
      </c>
      <c r="D445" t="s">
        <v>1282</v>
      </c>
    </row>
    <row r="446" spans="3:4" x14ac:dyDescent="0.35">
      <c r="C446" s="218">
        <v>2577289</v>
      </c>
      <c r="D446" t="s">
        <v>1282</v>
      </c>
    </row>
    <row r="447" spans="3:4" x14ac:dyDescent="0.35">
      <c r="C447" s="218">
        <v>2577290</v>
      </c>
      <c r="D447" t="s">
        <v>1282</v>
      </c>
    </row>
    <row r="448" spans="3:4" x14ac:dyDescent="0.35">
      <c r="C448" s="218">
        <v>2577291</v>
      </c>
      <c r="D448" t="s">
        <v>1282</v>
      </c>
    </row>
    <row r="449" spans="3:4" x14ac:dyDescent="0.35">
      <c r="C449" s="218">
        <v>2577292</v>
      </c>
      <c r="D449" t="s">
        <v>1282</v>
      </c>
    </row>
    <row r="450" spans="3:4" x14ac:dyDescent="0.35">
      <c r="C450" s="218">
        <v>2577293</v>
      </c>
      <c r="D450" t="s">
        <v>1282</v>
      </c>
    </row>
    <row r="451" spans="3:4" x14ac:dyDescent="0.35">
      <c r="C451" s="218">
        <v>2577294</v>
      </c>
      <c r="D451" t="s">
        <v>1282</v>
      </c>
    </row>
    <row r="452" spans="3:4" x14ac:dyDescent="0.35">
      <c r="C452" s="218">
        <v>2577295</v>
      </c>
      <c r="D452" t="s">
        <v>1282</v>
      </c>
    </row>
    <row r="453" spans="3:4" x14ac:dyDescent="0.35">
      <c r="C453" s="218">
        <v>2577296</v>
      </c>
      <c r="D453" t="s">
        <v>1282</v>
      </c>
    </row>
    <row r="454" spans="3:4" x14ac:dyDescent="0.35">
      <c r="C454" s="218">
        <v>2577297</v>
      </c>
      <c r="D454" t="s">
        <v>1282</v>
      </c>
    </row>
    <row r="455" spans="3:4" x14ac:dyDescent="0.35">
      <c r="C455" s="218">
        <v>2577298</v>
      </c>
      <c r="D455" t="s">
        <v>1282</v>
      </c>
    </row>
    <row r="456" spans="3:4" x14ac:dyDescent="0.35">
      <c r="C456" s="218">
        <v>2577299</v>
      </c>
      <c r="D456" t="s">
        <v>1282</v>
      </c>
    </row>
    <row r="457" spans="3:4" x14ac:dyDescent="0.35">
      <c r="C457" s="218">
        <v>2577300</v>
      </c>
      <c r="D457" t="s">
        <v>1282</v>
      </c>
    </row>
    <row r="458" spans="3:4" x14ac:dyDescent="0.35">
      <c r="C458" s="218">
        <v>2577301</v>
      </c>
      <c r="D458" t="s">
        <v>1282</v>
      </c>
    </row>
    <row r="459" spans="3:4" x14ac:dyDescent="0.35">
      <c r="C459" s="218">
        <v>2577302</v>
      </c>
      <c r="D459" t="s">
        <v>1282</v>
      </c>
    </row>
    <row r="460" spans="3:4" x14ac:dyDescent="0.35">
      <c r="C460" s="218">
        <v>2577303</v>
      </c>
      <c r="D460" t="s">
        <v>1282</v>
      </c>
    </row>
    <row r="461" spans="3:4" x14ac:dyDescent="0.35">
      <c r="C461" s="218">
        <v>2577304</v>
      </c>
      <c r="D461" t="s">
        <v>1282</v>
      </c>
    </row>
    <row r="462" spans="3:4" x14ac:dyDescent="0.35">
      <c r="C462" s="218">
        <v>2577305</v>
      </c>
      <c r="D462" t="s">
        <v>1282</v>
      </c>
    </row>
    <row r="463" spans="3:4" x14ac:dyDescent="0.35">
      <c r="C463" s="218">
        <v>2577306</v>
      </c>
      <c r="D463" t="s">
        <v>1282</v>
      </c>
    </row>
    <row r="464" spans="3:4" x14ac:dyDescent="0.35">
      <c r="C464" s="218">
        <v>2577307</v>
      </c>
      <c r="D464" t="s">
        <v>1282</v>
      </c>
    </row>
    <row r="465" spans="3:4" x14ac:dyDescent="0.35">
      <c r="C465" s="218">
        <v>2577308</v>
      </c>
      <c r="D465" t="s">
        <v>1282</v>
      </c>
    </row>
    <row r="466" spans="3:4" x14ac:dyDescent="0.35">
      <c r="C466" s="218">
        <v>2577309</v>
      </c>
      <c r="D466" t="s">
        <v>1282</v>
      </c>
    </row>
    <row r="467" spans="3:4" x14ac:dyDescent="0.35">
      <c r="C467" s="218">
        <v>2577310</v>
      </c>
      <c r="D467" t="s">
        <v>1282</v>
      </c>
    </row>
    <row r="468" spans="3:4" x14ac:dyDescent="0.35">
      <c r="C468" s="218">
        <v>2577311</v>
      </c>
      <c r="D468" t="s">
        <v>1282</v>
      </c>
    </row>
    <row r="469" spans="3:4" x14ac:dyDescent="0.35">
      <c r="C469" s="218">
        <v>2577312</v>
      </c>
      <c r="D469" t="s">
        <v>1282</v>
      </c>
    </row>
    <row r="470" spans="3:4" x14ac:dyDescent="0.35">
      <c r="C470" s="218">
        <v>2577313</v>
      </c>
      <c r="D470" t="s">
        <v>1282</v>
      </c>
    </row>
    <row r="471" spans="3:4" x14ac:dyDescent="0.35">
      <c r="C471" s="218">
        <v>2577314</v>
      </c>
      <c r="D471" t="s">
        <v>1282</v>
      </c>
    </row>
    <row r="472" spans="3:4" x14ac:dyDescent="0.35">
      <c r="C472" s="218">
        <v>2577315</v>
      </c>
      <c r="D472" t="s">
        <v>1282</v>
      </c>
    </row>
    <row r="473" spans="3:4" x14ac:dyDescent="0.35">
      <c r="C473" s="218">
        <v>2577316</v>
      </c>
      <c r="D473" t="s">
        <v>1282</v>
      </c>
    </row>
    <row r="474" spans="3:4" x14ac:dyDescent="0.35">
      <c r="C474" s="218">
        <v>2577317</v>
      </c>
      <c r="D474" t="s">
        <v>1282</v>
      </c>
    </row>
    <row r="475" spans="3:4" x14ac:dyDescent="0.35">
      <c r="C475" s="218">
        <v>2577318</v>
      </c>
      <c r="D475" t="s">
        <v>1282</v>
      </c>
    </row>
    <row r="476" spans="3:4" x14ac:dyDescent="0.35">
      <c r="C476" s="218">
        <v>2577319</v>
      </c>
      <c r="D476" t="s">
        <v>1282</v>
      </c>
    </row>
    <row r="477" spans="3:4" x14ac:dyDescent="0.35">
      <c r="C477" s="218">
        <v>2577320</v>
      </c>
      <c r="D477" t="s">
        <v>1282</v>
      </c>
    </row>
    <row r="478" spans="3:4" x14ac:dyDescent="0.35">
      <c r="C478" s="218">
        <v>2577321</v>
      </c>
      <c r="D478" t="s">
        <v>1282</v>
      </c>
    </row>
    <row r="479" spans="3:4" x14ac:dyDescent="0.35">
      <c r="C479" s="218">
        <v>2577322</v>
      </c>
      <c r="D479" t="s">
        <v>1282</v>
      </c>
    </row>
    <row r="480" spans="3:4" x14ac:dyDescent="0.35">
      <c r="C480" s="218">
        <v>2577323</v>
      </c>
      <c r="D480" t="s">
        <v>1282</v>
      </c>
    </row>
    <row r="481" spans="3:4" x14ac:dyDescent="0.35">
      <c r="C481" s="218">
        <v>2577324</v>
      </c>
      <c r="D481" t="s">
        <v>1282</v>
      </c>
    </row>
    <row r="482" spans="3:4" x14ac:dyDescent="0.35">
      <c r="C482" s="218">
        <v>2577325</v>
      </c>
      <c r="D482" t="s">
        <v>1282</v>
      </c>
    </row>
    <row r="483" spans="3:4" x14ac:dyDescent="0.35">
      <c r="C483" s="218">
        <v>2577326</v>
      </c>
      <c r="D483" t="s">
        <v>1282</v>
      </c>
    </row>
    <row r="484" spans="3:4" x14ac:dyDescent="0.35">
      <c r="C484" s="218">
        <v>2577327</v>
      </c>
      <c r="D484" t="s">
        <v>1282</v>
      </c>
    </row>
    <row r="485" spans="3:4" x14ac:dyDescent="0.35">
      <c r="C485" s="218">
        <v>2577328</v>
      </c>
      <c r="D485" t="s">
        <v>1282</v>
      </c>
    </row>
    <row r="486" spans="3:4" x14ac:dyDescent="0.35">
      <c r="C486" s="218">
        <v>2577329</v>
      </c>
      <c r="D486" t="s">
        <v>1282</v>
      </c>
    </row>
    <row r="487" spans="3:4" x14ac:dyDescent="0.35">
      <c r="C487" s="218">
        <v>2577330</v>
      </c>
      <c r="D487" t="s">
        <v>1282</v>
      </c>
    </row>
    <row r="488" spans="3:4" x14ac:dyDescent="0.35">
      <c r="C488" s="218">
        <v>2577331</v>
      </c>
      <c r="D488" t="s">
        <v>1282</v>
      </c>
    </row>
    <row r="489" spans="3:4" x14ac:dyDescent="0.35">
      <c r="C489" s="218">
        <v>2577332</v>
      </c>
      <c r="D489" t="s">
        <v>1282</v>
      </c>
    </row>
    <row r="490" spans="3:4" x14ac:dyDescent="0.35">
      <c r="C490" s="218">
        <v>2577333</v>
      </c>
      <c r="D490" t="s">
        <v>1282</v>
      </c>
    </row>
    <row r="491" spans="3:4" x14ac:dyDescent="0.35">
      <c r="C491" s="218">
        <v>2577334</v>
      </c>
      <c r="D491" t="s">
        <v>1282</v>
      </c>
    </row>
    <row r="492" spans="3:4" x14ac:dyDescent="0.35">
      <c r="C492" s="218">
        <v>2577335</v>
      </c>
      <c r="D492" t="s">
        <v>1282</v>
      </c>
    </row>
    <row r="493" spans="3:4" x14ac:dyDescent="0.35">
      <c r="C493" s="218">
        <v>2577336</v>
      </c>
      <c r="D493" t="s">
        <v>1282</v>
      </c>
    </row>
    <row r="494" spans="3:4" x14ac:dyDescent="0.35">
      <c r="C494" s="218">
        <v>2577337</v>
      </c>
      <c r="D494" t="s">
        <v>1282</v>
      </c>
    </row>
    <row r="495" spans="3:4" x14ac:dyDescent="0.35">
      <c r="C495" s="218">
        <v>2577338</v>
      </c>
      <c r="D495" t="s">
        <v>1282</v>
      </c>
    </row>
    <row r="496" spans="3:4" x14ac:dyDescent="0.35">
      <c r="C496" s="218">
        <v>2577339</v>
      </c>
      <c r="D496" t="s">
        <v>1282</v>
      </c>
    </row>
    <row r="497" spans="3:4" x14ac:dyDescent="0.35">
      <c r="C497" s="218">
        <v>2577340</v>
      </c>
      <c r="D497" t="s">
        <v>1282</v>
      </c>
    </row>
    <row r="498" spans="3:4" x14ac:dyDescent="0.35">
      <c r="C498" s="218">
        <v>2577341</v>
      </c>
      <c r="D498" t="s">
        <v>1282</v>
      </c>
    </row>
    <row r="499" spans="3:4" x14ac:dyDescent="0.35">
      <c r="C499" s="218">
        <v>2577342</v>
      </c>
      <c r="D499" t="s">
        <v>1282</v>
      </c>
    </row>
    <row r="500" spans="3:4" x14ac:dyDescent="0.35">
      <c r="C500" s="218">
        <v>2577343</v>
      </c>
      <c r="D500" t="s">
        <v>1282</v>
      </c>
    </row>
    <row r="501" spans="3:4" x14ac:dyDescent="0.35">
      <c r="C501" s="218">
        <v>2577344</v>
      </c>
      <c r="D501" t="s">
        <v>1282</v>
      </c>
    </row>
    <row r="502" spans="3:4" x14ac:dyDescent="0.35">
      <c r="C502" s="218">
        <v>2577345</v>
      </c>
      <c r="D502" t="s">
        <v>1282</v>
      </c>
    </row>
    <row r="503" spans="3:4" x14ac:dyDescent="0.35">
      <c r="C503" s="218">
        <v>2577346</v>
      </c>
      <c r="D503" t="s">
        <v>1282</v>
      </c>
    </row>
    <row r="504" spans="3:4" x14ac:dyDescent="0.35">
      <c r="C504" s="218">
        <v>2577347</v>
      </c>
      <c r="D504" t="s">
        <v>1282</v>
      </c>
    </row>
    <row r="505" spans="3:4" x14ac:dyDescent="0.35">
      <c r="C505" s="218">
        <v>2577348</v>
      </c>
      <c r="D505" t="s">
        <v>1282</v>
      </c>
    </row>
    <row r="506" spans="3:4" x14ac:dyDescent="0.35">
      <c r="C506" s="218">
        <v>2577349</v>
      </c>
      <c r="D506" t="s">
        <v>1282</v>
      </c>
    </row>
    <row r="507" spans="3:4" x14ac:dyDescent="0.35">
      <c r="C507" s="218">
        <v>2577350</v>
      </c>
      <c r="D507" t="s">
        <v>1282</v>
      </c>
    </row>
    <row r="508" spans="3:4" x14ac:dyDescent="0.35">
      <c r="C508" s="218">
        <v>2577351</v>
      </c>
      <c r="D508" t="s">
        <v>1282</v>
      </c>
    </row>
    <row r="509" spans="3:4" x14ac:dyDescent="0.35">
      <c r="D509" t="s">
        <v>1282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1200</v>
      </c>
    </row>
    <row r="2" spans="1:1" x14ac:dyDescent="0.35">
      <c r="A2" t="s">
        <v>1201</v>
      </c>
    </row>
    <row r="3" spans="1:1" x14ac:dyDescent="0.35">
      <c r="A3" t="s">
        <v>1202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209</vt:i4>
      </vt:variant>
    </vt:vector>
  </HeadingPairs>
  <TitlesOfParts>
    <vt:vector size="219" baseType="lpstr">
      <vt:lpstr>Information</vt:lpstr>
      <vt:lpstr>Defects</vt:lpstr>
      <vt:lpstr>Automation_Lookups</vt:lpstr>
      <vt:lpstr>RC. No</vt:lpstr>
      <vt:lpstr>Code_Ranjeeta</vt:lpstr>
      <vt:lpstr>Code_11122019_1000</vt:lpstr>
      <vt:lpstr>Names</vt:lpstr>
      <vt:lpstr>Test_Data</vt:lpstr>
      <vt:lpstr>Sheet2</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ChangeMyPersonalInformation_CityOfBirth2</vt:lpstr>
      <vt:lpstr>ChangeMyPersonalInformation_CountryOfBirth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Test_Data!ChangeMyPersonalInformation_MaritalStatus2</vt:lpstr>
      <vt:lpstr>ChangeMyPersonalInformation_MaritalStatus2</vt:lpstr>
      <vt:lpstr>ChangeMyPersonalInformation_MaritalStatusDate</vt:lpstr>
      <vt:lpstr>ChangeMyPersonalInformation_MaritalStatusDate2</vt:lpstr>
      <vt:lpstr>ChangeMyPersonalInformation_PrimaryNationality</vt:lpstr>
      <vt:lpstr>ChangeMyPersonalInformation_PrimaryNationality2</vt:lpstr>
      <vt:lpstr>ChangeMyPersonalInformation_RaceEthnicity</vt:lpstr>
      <vt:lpstr>ChangeMyPersonalInformation_RegionOfBirth</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ContactInformation_Address_AdressLine1</vt:lpstr>
      <vt:lpstr>ContactInformation_Address_AdressLine2</vt:lpstr>
      <vt:lpstr>ContactInformation_Address_AdressLine3</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ContactInformation_Address_EffectiveDate</vt:lpstr>
      <vt:lpstr>ContactInformation_Address_EffectiveDate2</vt:lpstr>
      <vt:lpstr>ContactInformation_Address_HouseNumber</vt:lpstr>
      <vt:lpstr>ContactInformation_Address_HouseNumber2</vt:lpstr>
      <vt:lpstr>ContactInformation_Address_PostalCode</vt:lpstr>
      <vt:lpstr>ContactInformation_Address_PostalCode2</vt:lpstr>
      <vt:lpstr>ContactInformation_Address_Province2</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Login_Password</vt:lpstr>
      <vt:lpstr>Login_Password2</vt:lpstr>
      <vt:lpstr>Login_Username</vt:lpstr>
      <vt:lpstr>Login_Username2</vt:lpstr>
      <vt:lpstr>MaintainEmployeeContract_ContractEndDate2</vt:lpstr>
      <vt:lpstr>MaintainEmployeeContract_ContractType</vt:lpstr>
      <vt:lpstr>MaintainEmployeeContract_ContractType2</vt:lpstr>
      <vt:lpstr>MaintainEmployeeContract_Reason</vt:lpstr>
      <vt:lpstr>MaintainEmployeeContract_Reason2</vt:lpstr>
      <vt:lpstr>MaintainEmployeeContract_Status</vt:lpstr>
      <vt:lpstr>MaintainEmployeeContract_Status2</vt:lpstr>
      <vt:lpstr>ManageProbationPeriod_ProbationEndDate</vt:lpstr>
      <vt:lpstr>Order_Buyer</vt:lpstr>
      <vt:lpstr>Order_BuyingOfficeZone</vt:lpstr>
      <vt:lpstr>Order_Department</vt:lpstr>
      <vt:lpstr>Order_Vendor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Test_Data!ProposeCompensationHire_GradeProfile</vt:lpstr>
      <vt:lpstr>ProposeCompensationHire_GradeProfile</vt:lpstr>
      <vt:lpstr>ProposeCompensationHire_GradeProfile2</vt:lpstr>
      <vt:lpstr>ProposeCompensationHire_Salary</vt:lpstr>
      <vt:lpstr>ProposeCompensationHire_Salary2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2025-04-08T06:34:30Z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