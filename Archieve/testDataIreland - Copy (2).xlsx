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<sst xmlns="http://schemas.openxmlformats.org/spreadsheetml/2006/main" count="794" uniqueCount="180">
  <si>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</si>
  <si>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</si>
  <si>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</si>
  <si>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</si>
  <si>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</si>
  <si>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</si>
  <si>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</si>
  <si>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</si>
  <si>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</si>
  <si>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</si>
  <si>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</si>
  <si>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</si>
  <si>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</si>
  <si>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</si>
  <si>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</si>
  <si>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AdressLine3</t>
  </si>
  <si>
    <t>PostalCode</t>
  </si>
  <si>
    <t>City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</si>
  <si>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</si>
  <si>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</si>
  <si>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</si>
  <si>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</si>
  <si>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</si>
  <si>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</si>
  <si>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</si>
  <si>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</si>
  <si>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</si>
  <si>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</si>
  <si>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</si>
  <si>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</si>
  <si>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</si>
  <si>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</si>
  <si>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</si>
  <si>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</si>
  <si>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</si>
  <si>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</si>
  <si>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</si>
  <si>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</si>
  <si>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</si>
  <si>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</si>
  <si>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</si>
  <si>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</si>
  <si>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</si>
  <si>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</si>
  <si>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</si>
  <si>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</si>
  <si>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</si>
  <si>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</si>
  <si>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RaceEthnicity</t>
  </si>
  <si>
    <t>PrimaryNationality</t>
  </si>
  <si>
    <t>Salary</t>
  </si>
  <si>
    <t>BankName</t>
  </si>
  <si>
    <t>BankIdentificationCode</t>
  </si>
  <si>
    <t>IBAN</t>
  </si>
  <si>
    <t>AccountType</t>
  </si>
  <si>
    <t>ProposedPayGroupFinal</t>
  </si>
  <si>
    <t>Test_1</t>
  </si>
  <si>
    <t>10698347</t>
  </si>
  <si>
    <t>Passed</t>
  </si>
  <si>
    <t>001 Recruitment (Lubym Wyvyfu (221849))</t>
  </si>
  <si>
    <t>Ireland</t>
  </si>
  <si>
    <t>Mr</t>
  </si>
  <si>
    <t>Teagan</t>
  </si>
  <si>
    <t>Blanda</t>
  </si>
  <si>
    <t>Landline</t>
  </si>
  <si>
    <t>Home</t>
  </si>
  <si>
    <t>Irel</t>
  </si>
  <si>
    <t>Dublin</t>
  </si>
  <si>
    <t>Automation Street Name</t>
  </si>
  <si>
    <t>D94HG49</t>
  </si>
  <si>
    <t>Street Address</t>
  </si>
  <si>
    <t>automation@qe.com</t>
  </si>
  <si>
    <t>New Hire</t>
  </si>
  <si>
    <t>No</t>
  </si>
  <si>
    <t>Permanent</t>
  </si>
  <si>
    <t>Retail Assistant</t>
  </si>
  <si>
    <t>Full time</t>
  </si>
  <si>
    <t>001</t>
  </si>
  <si>
    <t>Hourly</t>
  </si>
  <si>
    <t>508</t>
  </si>
  <si>
    <t>Default Work Shift (Ireland)</t>
  </si>
  <si>
    <t>N/A</t>
  </si>
  <si>
    <t>Automation Comments here….</t>
  </si>
  <si>
    <t>94 Retail Operative</t>
  </si>
  <si>
    <t>01 Accessories</t>
  </si>
  <si>
    <t>Personal Public Service Number (PPS no)</t>
  </si>
  <si>
    <t>2576988JA</t>
  </si>
  <si>
    <t>Male</t>
  </si>
  <si>
    <t>Married</t>
  </si>
  <si>
    <t>28/10/2021</t>
  </si>
  <si>
    <t>White - Irish (Ireland)</t>
  </si>
  <si>
    <t>Defaulted</t>
  </si>
  <si>
    <t>AIB</t>
  </si>
  <si>
    <t>BOFIIE2D</t>
  </si>
  <si>
    <t>IE29AIBK93115212345678</t>
  </si>
  <si>
    <t>Checking</t>
  </si>
  <si>
    <t>IE Staff Weekly Group 10</t>
  </si>
  <si>
    <t>Test_2</t>
  </si>
  <si>
    <t>001 Store Management (Savip Gytape (100446))</t>
  </si>
  <si>
    <t>Ms</t>
  </si>
  <si>
    <t>Americo</t>
  </si>
  <si>
    <t>Hodkiewicz</t>
  </si>
  <si>
    <t>Auto 45099995</t>
  </si>
  <si>
    <t>Fixed Term (Fixed Term)</t>
  </si>
  <si>
    <t>Store Manager</t>
  </si>
  <si>
    <t>92 Retail Management</t>
  </si>
  <si>
    <t>2576989JA</t>
  </si>
  <si>
    <t>Female</t>
  </si>
  <si>
    <t>IE Management Group 20</t>
  </si>
  <si>
    <t>Test_3</t>
  </si>
  <si>
    <t>10698386</t>
  </si>
  <si>
    <t>Davonte</t>
  </si>
  <si>
    <t>Roob</t>
  </si>
  <si>
    <t>Auto 10053601</t>
  </si>
  <si>
    <t>Department Manager</t>
  </si>
  <si>
    <t>2577009JA</t>
  </si>
  <si>
    <t>Test_4</t>
  </si>
  <si>
    <t>10698388</t>
  </si>
  <si>
    <t>Elias</t>
  </si>
  <si>
    <t>Price</t>
  </si>
  <si>
    <t>Auto 85459929</t>
  </si>
  <si>
    <t>Weekend Manager</t>
  </si>
  <si>
    <t>Part time</t>
  </si>
  <si>
    <t>252 Weekend Management</t>
  </si>
  <si>
    <t>ROI Weekend Manager (Year 1)</t>
  </si>
  <si>
    <t>2576991JA</t>
  </si>
  <si>
    <t>Test_5</t>
  </si>
  <si>
    <t>10698389</t>
  </si>
  <si>
    <t>Helen</t>
  </si>
  <si>
    <t>Kshlerin</t>
  </si>
  <si>
    <t>Auto 51224412</t>
  </si>
  <si>
    <t>Team Manager - Retail</t>
  </si>
  <si>
    <t>ROI Team Manager - Retail (Probationary)</t>
  </si>
  <si>
    <t>Initial Step- ROI TM-Prob</t>
  </si>
  <si>
    <t>2576992JA</t>
  </si>
  <si>
    <t>Test_6</t>
  </si>
  <si>
    <t>Kennedy</t>
  </si>
  <si>
    <t>Kreiger</t>
  </si>
  <si>
    <t>Auto 81179745</t>
  </si>
  <si>
    <t>Temporary</t>
  </si>
  <si>
    <t>Assistant Manager</t>
  </si>
  <si>
    <t>2576993JA</t>
  </si>
  <si>
    <t>Test_7</t>
  </si>
  <si>
    <t xml:space="preserve">Test failed for 'Mackenzie Collins' Employee:{10698391}TimeoutError: locator.click: Timeout 30000ms exceeded.
Call log:
  [2m- waiting for getByRole('link', { name: 'Pay' })[22m
</t>
  </si>
  <si>
    <t>Failed</t>
  </si>
  <si>
    <t>Mackenzie</t>
  </si>
  <si>
    <t>Collins</t>
  </si>
  <si>
    <t>Auto 4186345</t>
  </si>
  <si>
    <t>P&amp;C Manager Stores</t>
  </si>
  <si>
    <t>2576994JA</t>
  </si>
  <si>
    <t>Test_8</t>
  </si>
  <si>
    <t xml:space="preserve">Test failed for 'Josefa Halvorson' Employee:{10698392}TimeoutError: locator.click: Timeout 30000ms exceeded.
Call log:
  [2m- waiting for locator('text=Onboarding Guide: Store Person - Josefa Halvorson')[22m
</t>
  </si>
  <si>
    <t>Josefa</t>
  </si>
  <si>
    <t>Halvorson</t>
  </si>
  <si>
    <t>Store Person</t>
  </si>
  <si>
    <t>2576995JA</t>
  </si>
  <si>
    <t>Test_9</t>
  </si>
  <si>
    <t>Auto 5818535</t>
  </si>
  <si>
    <t>Trainee Manager</t>
  </si>
  <si>
    <t>ROI Trainee Manager (Probationary)</t>
  </si>
  <si>
    <t>2576996JA</t>
  </si>
  <si>
    <t>Test_10</t>
  </si>
  <si>
    <t>23 Health &amp; Beauty</t>
  </si>
  <si>
    <t>2576997JA</t>
  </si>
  <si>
    <t>Test_11</t>
  </si>
  <si>
    <t>Auto 48773803</t>
  </si>
  <si>
    <t>2576998JA</t>
  </si>
  <si>
    <t>Test_12</t>
  </si>
  <si>
    <t>Auto 28571680</t>
  </si>
  <si>
    <t>2576999JA</t>
  </si>
  <si>
    <t>Test_13</t>
  </si>
  <si>
    <t>06 Menswear</t>
  </si>
  <si>
    <t>2577000JA</t>
  </si>
  <si>
    <t>Test_14</t>
  </si>
  <si>
    <t>255 Stockroom</t>
  </si>
  <si>
    <t>2577001JA</t>
  </si>
  <si>
    <t>Test_15</t>
  </si>
  <si>
    <t>Supervisor</t>
  </si>
  <si>
    <t>253 Supervisors</t>
  </si>
  <si>
    <t>2577002JA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</si>
</sst>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8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color theme="9" tint="-0.249977111117893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color rgb="FF4A4A4A"/>
      <family val="2"/>
      <scheme val="minor"/>
      <sz val="11"/>
      <name val="Calibri"/>
    </font>
    <font>
      <color rgb="FF000000"/>
      <family val="2"/>
      <scheme val="minor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rgb="FF00FF00"/>
      </patternFill>
    </fill>
  </fills>
  <borders count="6">
    <border>
      <left/>
      <right/>
      <top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49" fontId="1" fillId="0" borderId="0" xfId="0" applyNumberFormat="1" applyFont="1" applyAlignment="1">
      <alignment horizontal="left" wrapText="1"/>
    </xf>
    <xf numFmtId="49" fontId="1" fillId="2" borderId="0" xfId="0" applyNumberFormat="1" applyFont="1" applyFill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4" xfId="0" applyFill="1" applyBorder="1" applyAlignment="1">
      <alignment wrapText="1"/>
    </xf>
    <xf numFmtId="0" fontId="0" fillId="7" borderId="4" xfId="0" applyFill="1" applyBorder="1"/>
    <xf numFmtId="0" fontId="4" fillId="0" borderId="0" xfId="0" applyFont="1" applyAlignment="1">
      <alignment vertical="center"/>
    </xf>
    <xf numFmtId="0" fontId="0" fillId="0" borderId="4" xfId="0" applyBorder="1" applyAlignment="1">
      <alignment horizontal="left"/>
    </xf>
    <xf numFmtId="0" fontId="0" fillId="0" borderId="5" xfId="0" applyBorder="1"/>
    <xf numFmtId="0" fontId="0" fillId="5" borderId="4" xfId="0" applyFill="1" applyBorder="1"/>
    <xf numFmtId="0" fontId="0" fillId="0" borderId="4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4" xfId="0" applyBorder="1" applyProtection="1">
      <protection locked="0"/>
    </xf>
    <xf numFmtId="14" fontId="0" fillId="0" borderId="4" xfId="0" applyNumberFormat="1" applyBorder="1" applyAlignment="1">
      <alignment horizontal="left"/>
    </xf>
    <xf numFmtId="0" fontId="5" fillId="0" borderId="4" xfId="0" applyFont="1" applyBorder="1" applyProtection="1">
      <protection locked="0"/>
    </xf>
    <xf numFmtId="14" fontId="2" fillId="0" borderId="0" xfId="0" applyNumberFormat="1" applyFont="1" applyAlignment="1">
      <alignment horizontal="left"/>
    </xf>
    <xf numFmtId="0" fontId="3" fillId="5" borderId="4" xfId="0" applyFont="1" applyFill="1" applyBorder="1" applyAlignment="1" applyProtection="1">
      <alignment horizontal="left"/>
      <protection locked="0"/>
    </xf>
    <xf numFmtId="0" fontId="0" fillId="0" borderId="4" xfId="0" applyBorder="1"/>
    <xf numFmtId="0" fontId="6" fillId="0" borderId="4" xfId="0" applyFont="1" applyBorder="1"/>
    <xf numFmtId="0" fontId="0" fillId="0" borderId="4" xfId="0" applyBorder="1" applyAlignment="1" applyProtection="1">
      <alignment horizontal="left" wrapText="1"/>
      <protection locked="0"/>
    </xf>
    <xf numFmtId="0" fontId="2" fillId="0" borderId="4" xfId="0" applyFont="1" applyBorder="1" applyAlignment="1" applyProtection="1">
      <alignment horizontal="left"/>
      <protection locked="0"/>
    </xf>
    <xf numFmtId="164" fontId="0" fillId="0" borderId="4" xfId="0" applyNumberForma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0" fontId="7" fillId="0" borderId="0" xfId="0" applyFont="1"/>
    <xf numFmtId="0" fontId="0" fillId="0" borderId="4" xfId="0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8" borderId="0" xfId="0" applyFill="1"/>
    <xf numFmtId="0" fontId="0" fillId="7" borderId="0" xfId="0" applyFill="1"/>
    <xf numFmtId="164" fontId="3" fillId="0" borderId="4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8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6"/>
  <sheetViews>
    <sheetView workbookViewId="0" zoomScale="90" zoomScaleNormal="90">
      <selection activeCell="C7" sqref="C7"/>
    </sheetView>
  </sheetViews>
  <sheetFormatPr defaultRowHeight="14.5" outlineLevelRow="0" outlineLevelCol="0" x14ac:dyDescent="0.35" customHeight="1"/>
  <cols>
    <col min="1" max="1" width="23.6328125" customWidth="1"/>
    <col min="2" max="2" width="18.81640625" customWidth="1"/>
    <col min="3" max="3" width="14.36328125" style="1" customWidth="1"/>
    <col min="4" max="4" width="53.90625" customWidth="1"/>
    <col min="7" max="7" width="25" customWidth="1"/>
    <col min="8" max="8" width="30.90625" customWidth="1"/>
    <col min="9" max="9" width="20.453125" customWidth="1"/>
    <col min="12" max="12" width="21.54296875" customWidth="1"/>
    <col min="14" max="18" width="26.7265625" customWidth="1"/>
    <col min="26" max="26" width="23.26953125" customWidth="1"/>
    <col min="28" max="28" width="44.26953125" customWidth="1"/>
    <col min="29" max="29" width="38" customWidth="1"/>
    <col min="30" max="30" width="33.36328125" customWidth="1"/>
    <col min="32" max="32" width="24.453125" customWidth="1"/>
    <col min="33" max="33" width="18" customWidth="1"/>
    <col min="34" max="34" width="46.7265625" customWidth="1"/>
    <col min="35" max="35" width="26.81640625" customWidth="1"/>
    <col min="36" max="36" width="34.08984375" customWidth="1"/>
    <col min="37" max="37" width="36.1796875" customWidth="1"/>
    <col min="38" max="38" width="23.54296875" customWidth="1"/>
    <col min="39" max="39" width="24.453125" customWidth="1"/>
    <col min="40" max="40" width="41.7265625" customWidth="1"/>
    <col min="43" max="43" width="46.90625" customWidth="1"/>
    <col min="44" max="44" width="12.08984375" customWidth="1"/>
    <col min="46" max="46" width="23.54296875" customWidth="1"/>
    <col min="47" max="47" width="21.36328125" customWidth="1"/>
    <col min="48" max="48" width="25" customWidth="1"/>
    <col min="49" max="49" width="27.7265625" customWidth="1"/>
    <col min="50" max="50" width="24.26953125" customWidth="1"/>
    <col min="51" max="51" width="33.6328125" customWidth="1"/>
    <col min="52" max="52" width="28.36328125" customWidth="1"/>
    <col min="53" max="53" width="38.453125" customWidth="1"/>
    <col min="54" max="54" width="42.7265625" customWidth="1"/>
    <col min="55" max="55" width="24.54296875" customWidth="1"/>
    <col min="56" max="56" width="35.453125" customWidth="1"/>
    <col min="57" max="57" width="37.453125" customWidth="1"/>
    <col min="58" max="58" width="40.7265625" customWidth="1"/>
    <col min="59" max="59" width="44" customWidth="1"/>
    <col min="60" max="60" width="55.7265625" customWidth="1"/>
    <col min="61" max="61" width="28.54296875" customWidth="1"/>
    <col min="62" max="62" width="29.36328125" customWidth="1"/>
    <col min="66" max="66" width="34.36328125" customWidth="1"/>
    <col min="67" max="67" width="26.08984375" customWidth="1"/>
    <col min="79" max="79" width="21.6328125" customWidth="1"/>
    <col min="80" max="80" width="23.26953125" customWidth="1"/>
    <col min="99" max="99" width="54.81640625" customWidth="1"/>
    <col min="100" max="100" width="34.453125" customWidth="1"/>
  </cols>
  <sheetData>
    <row r="1" ht="51" customHeight="1" spans="1: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4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10</v>
      </c>
      <c r="U1" s="6" t="s">
        <v>18</v>
      </c>
      <c r="V1" s="6" t="s">
        <v>19</v>
      </c>
      <c r="W1" s="6" t="s">
        <v>10</v>
      </c>
      <c r="X1" s="8" t="s">
        <v>20</v>
      </c>
      <c r="Y1" s="6" t="s">
        <v>21</v>
      </c>
      <c r="Z1" s="6" t="s">
        <v>22</v>
      </c>
      <c r="AA1" s="9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8" t="s">
        <v>32</v>
      </c>
      <c r="AK1" s="6" t="s">
        <v>33</v>
      </c>
      <c r="AL1" s="6" t="s">
        <v>34</v>
      </c>
      <c r="AM1" s="6" t="s">
        <v>35</v>
      </c>
      <c r="AN1" s="8" t="s">
        <v>36</v>
      </c>
      <c r="AO1" s="8" t="s">
        <v>37</v>
      </c>
      <c r="AP1" s="8" t="s">
        <v>38</v>
      </c>
      <c r="AQ1" s="6" t="s">
        <v>39</v>
      </c>
      <c r="AR1" s="10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10" t="s">
        <v>55</v>
      </c>
      <c r="BH1" s="11"/>
    </row>
    <row r="2" ht="87.5" customHeight="1" spans="1:60" x14ac:dyDescent="0.25">
      <c r="A2" t="s">
        <v>56</v>
      </c>
      <c r="B2" s="12" t="s">
        <v>57</v>
      </c>
      <c r="C2" s="13" t="s">
        <v>58</v>
      </c>
      <c r="D2" s="14" t="s">
        <v>59</v>
      </c>
      <c r="E2" s="15" t="s">
        <v>60</v>
      </c>
      <c r="F2" s="16" t="s">
        <v>61</v>
      </c>
      <c r="G2" s="17" t="s">
        <v>62</v>
      </c>
      <c r="H2" s="17" t="s">
        <v>63</v>
      </c>
      <c r="I2" s="18">
        <v>861240232</v>
      </c>
      <c r="J2" s="18" t="s">
        <v>64</v>
      </c>
      <c r="K2" s="18" t="s">
        <v>65</v>
      </c>
      <c r="L2" s="19">
        <f t="shared" ref="L2:L16" si="0">TODAY()-31</f>
        <v>45724</v>
      </c>
      <c r="M2" s="15" t="s">
        <v>66</v>
      </c>
      <c r="N2" s="20" t="s">
        <v>67</v>
      </c>
      <c r="O2" s="20" t="s">
        <v>68</v>
      </c>
      <c r="P2" s="18">
        <v>38</v>
      </c>
      <c r="Q2" s="18" t="s">
        <v>67</v>
      </c>
      <c r="R2" s="18" t="s">
        <v>69</v>
      </c>
      <c r="S2" s="18" t="s">
        <v>67</v>
      </c>
      <c r="T2" s="18" t="s">
        <v>65</v>
      </c>
      <c r="U2" s="21" t="s">
        <v>70</v>
      </c>
      <c r="V2" s="22" t="s">
        <v>71</v>
      </c>
      <c r="W2" s="18" t="s">
        <v>65</v>
      </c>
      <c r="X2" s="23">
        <f t="shared" ref="X2:X16" si="1">L2</f>
        <v>45724</v>
      </c>
      <c r="Y2" s="19">
        <f t="shared" ref="Y2:Y16" si="2">X2+90</f>
        <v>45814</v>
      </c>
      <c r="Z2" s="18" t="s">
        <v>72</v>
      </c>
      <c r="AA2" s="24" t="s">
        <v>73</v>
      </c>
      <c r="AB2" s="25" t="s">
        <v>74</v>
      </c>
      <c r="AC2" s="26" t="s">
        <v>75</v>
      </c>
      <c r="AD2" s="25" t="s">
        <v>76</v>
      </c>
      <c r="AE2" s="15" t="s">
        <v>77</v>
      </c>
      <c r="AF2" s="15" t="s">
        <v>78</v>
      </c>
      <c r="AG2" s="27">
        <v>37.5</v>
      </c>
      <c r="AH2" s="15" t="s">
        <v>79</v>
      </c>
      <c r="AI2" t="s">
        <v>80</v>
      </c>
      <c r="AJ2" s="23" t="s">
        <v>81</v>
      </c>
      <c r="AK2" s="18" t="s">
        <v>82</v>
      </c>
      <c r="AL2" s="18" t="s">
        <v>83</v>
      </c>
      <c r="AM2" t="s">
        <v>84</v>
      </c>
      <c r="AN2" s="28" t="s">
        <v>81</v>
      </c>
      <c r="AO2" s="28" t="s">
        <v>81</v>
      </c>
      <c r="AP2" s="28" t="s">
        <v>66</v>
      </c>
      <c r="AQ2" s="29" t="s">
        <v>85</v>
      </c>
      <c r="AR2" t="s">
        <v>86</v>
      </c>
      <c r="AS2" t="s">
        <v>87</v>
      </c>
      <c r="AT2" s="30">
        <v>35591</v>
      </c>
      <c r="AU2" t="s">
        <v>66</v>
      </c>
      <c r="AV2" t="s">
        <v>67</v>
      </c>
      <c r="AW2" s="30" t="s">
        <v>67</v>
      </c>
      <c r="AX2" s="30" t="s">
        <v>88</v>
      </c>
      <c r="AY2" s="30" t="s">
        <v>89</v>
      </c>
      <c r="AZ2" s="30" t="s">
        <v>90</v>
      </c>
      <c r="BA2" s="30" t="s">
        <v>66</v>
      </c>
      <c r="BB2" s="15" t="s">
        <v>91</v>
      </c>
      <c r="BC2" s="29" t="s">
        <v>92</v>
      </c>
      <c r="BD2" s="29" t="s">
        <v>93</v>
      </c>
      <c r="BE2" s="29" t="s">
        <v>94</v>
      </c>
      <c r="BF2" s="29" t="s">
        <v>95</v>
      </c>
      <c r="BG2" s="18" t="s">
        <v>96</v>
      </c>
      <c r="BH2" s="31"/>
    </row>
    <row r="3" ht="14.5" customHeight="1" spans="1:59" x14ac:dyDescent="0.25">
      <c r="A3" t="s">
        <v>97</v>
      </c>
      <c r="B3" s="32"/>
      <c r="C3" s="13"/>
      <c r="D3" s="14" t="s">
        <v>98</v>
      </c>
      <c r="E3" s="15" t="s">
        <v>60</v>
      </c>
      <c r="F3" s="16" t="s">
        <v>99</v>
      </c>
      <c r="G3" t="s">
        <v>100</v>
      </c>
      <c r="H3" t="s">
        <v>101</v>
      </c>
      <c r="I3" s="18">
        <v>861240232</v>
      </c>
      <c r="J3" s="18" t="s">
        <v>64</v>
      </c>
      <c r="K3" s="18" t="s">
        <v>65</v>
      </c>
      <c r="L3" s="19">
        <f t="shared" si="0"/>
        <v>45724</v>
      </c>
      <c r="M3" s="15" t="s">
        <v>66</v>
      </c>
      <c r="N3" s="20" t="s">
        <v>67</v>
      </c>
      <c r="O3" s="20" t="s">
        <v>68</v>
      </c>
      <c r="P3" s="18">
        <v>38</v>
      </c>
      <c r="Q3" s="18" t="s">
        <v>67</v>
      </c>
      <c r="R3" s="18" t="s">
        <v>69</v>
      </c>
      <c r="S3" s="18" t="s">
        <v>67</v>
      </c>
      <c r="T3" s="18" t="s">
        <v>65</v>
      </c>
      <c r="U3" s="21" t="s">
        <v>70</v>
      </c>
      <c r="V3" s="22" t="s">
        <v>71</v>
      </c>
      <c r="W3" s="18" t="s">
        <v>65</v>
      </c>
      <c r="X3" s="23">
        <f t="shared" si="1"/>
        <v>45724</v>
      </c>
      <c r="Y3" s="19">
        <f t="shared" si="2"/>
        <v>45814</v>
      </c>
      <c r="Z3" s="18" t="s">
        <v>72</v>
      </c>
      <c r="AA3" s="24" t="s">
        <v>102</v>
      </c>
      <c r="AB3" s="25" t="s">
        <v>103</v>
      </c>
      <c r="AC3" s="26" t="s">
        <v>104</v>
      </c>
      <c r="AD3" s="25" t="s">
        <v>76</v>
      </c>
      <c r="AE3" s="15" t="s">
        <v>77</v>
      </c>
      <c r="AF3" s="15" t="s">
        <v>50</v>
      </c>
      <c r="AG3" s="27">
        <v>37.5</v>
      </c>
      <c r="AH3" s="15" t="s">
        <v>79</v>
      </c>
      <c r="AI3" t="s">
        <v>80</v>
      </c>
      <c r="AJ3" s="23">
        <f>X3+365</f>
        <v>46089</v>
      </c>
      <c r="AK3" s="18" t="s">
        <v>82</v>
      </c>
      <c r="AL3" s="18" t="s">
        <v>105</v>
      </c>
      <c r="AM3" s="33">
        <v>251</v>
      </c>
      <c r="AN3" s="28" t="s">
        <v>81</v>
      </c>
      <c r="AO3" s="28" t="s">
        <v>81</v>
      </c>
      <c r="AP3" s="28" t="s">
        <v>66</v>
      </c>
      <c r="AQ3" s="29" t="s">
        <v>85</v>
      </c>
      <c r="AR3" t="s">
        <v>106</v>
      </c>
      <c r="AS3" t="s">
        <v>107</v>
      </c>
      <c r="AT3" s="30">
        <v>35591</v>
      </c>
      <c r="AU3" t="s">
        <v>66</v>
      </c>
      <c r="AV3" t="s">
        <v>67</v>
      </c>
      <c r="AW3" s="30" t="s">
        <v>67</v>
      </c>
      <c r="AX3" s="30" t="s">
        <v>88</v>
      </c>
      <c r="AY3" s="30" t="s">
        <v>89</v>
      </c>
      <c r="AZ3" s="30" t="s">
        <v>90</v>
      </c>
      <c r="BA3" s="30" t="s">
        <v>66</v>
      </c>
      <c r="BB3" s="15" t="s">
        <v>91</v>
      </c>
      <c r="BC3" s="29" t="s">
        <v>92</v>
      </c>
      <c r="BD3" s="29" t="s">
        <v>93</v>
      </c>
      <c r="BE3" s="29" t="s">
        <v>94</v>
      </c>
      <c r="BF3" s="29" t="s">
        <v>95</v>
      </c>
      <c r="BG3" s="18" t="s">
        <v>108</v>
      </c>
    </row>
    <row r="4" ht="14.5" customHeight="1" spans="1:59" x14ac:dyDescent="0.25">
      <c r="A4" t="s">
        <v>109</v>
      </c>
      <c r="B4" s="34" t="s">
        <v>110</v>
      </c>
      <c r="C4" s="35" t="s">
        <v>58</v>
      </c>
      <c r="D4" s="14" t="s">
        <v>98</v>
      </c>
      <c r="E4" s="15" t="s">
        <v>60</v>
      </c>
      <c r="F4" s="16" t="s">
        <v>61</v>
      </c>
      <c r="G4" t="s">
        <v>111</v>
      </c>
      <c r="H4" t="s">
        <v>112</v>
      </c>
      <c r="I4" s="18">
        <v>861240232</v>
      </c>
      <c r="J4" s="18" t="s">
        <v>64</v>
      </c>
      <c r="K4" s="18" t="s">
        <v>65</v>
      </c>
      <c r="L4" s="19">
        <f t="shared" si="0"/>
        <v>45724</v>
      </c>
      <c r="M4" s="15" t="s">
        <v>66</v>
      </c>
      <c r="N4" s="20" t="s">
        <v>67</v>
      </c>
      <c r="O4" s="20" t="s">
        <v>68</v>
      </c>
      <c r="P4" s="18">
        <v>38</v>
      </c>
      <c r="Q4" s="18" t="s">
        <v>67</v>
      </c>
      <c r="R4" s="18" t="s">
        <v>69</v>
      </c>
      <c r="S4" s="18" t="s">
        <v>67</v>
      </c>
      <c r="T4" s="18" t="s">
        <v>65</v>
      </c>
      <c r="U4" s="21" t="s">
        <v>70</v>
      </c>
      <c r="V4" s="22" t="s">
        <v>71</v>
      </c>
      <c r="W4" s="18" t="s">
        <v>65</v>
      </c>
      <c r="X4" s="23">
        <f t="shared" si="1"/>
        <v>45724</v>
      </c>
      <c r="Y4" s="19">
        <f t="shared" si="2"/>
        <v>45814</v>
      </c>
      <c r="Z4" s="18" t="s">
        <v>72</v>
      </c>
      <c r="AA4" s="24" t="s">
        <v>113</v>
      </c>
      <c r="AB4" s="25" t="s">
        <v>74</v>
      </c>
      <c r="AC4" s="26" t="s">
        <v>114</v>
      </c>
      <c r="AD4" s="25" t="s">
        <v>76</v>
      </c>
      <c r="AE4" s="15" t="s">
        <v>77</v>
      </c>
      <c r="AF4" s="15" t="s">
        <v>50</v>
      </c>
      <c r="AG4" s="27">
        <v>37.5</v>
      </c>
      <c r="AH4" s="15" t="s">
        <v>79</v>
      </c>
      <c r="AI4" t="s">
        <v>80</v>
      </c>
      <c r="AJ4" s="23" t="s">
        <v>81</v>
      </c>
      <c r="AK4" s="18" t="s">
        <v>82</v>
      </c>
      <c r="AL4" s="18" t="s">
        <v>105</v>
      </c>
      <c r="AM4" s="33">
        <v>251</v>
      </c>
      <c r="AN4" s="28" t="s">
        <v>81</v>
      </c>
      <c r="AO4" s="28" t="s">
        <v>81</v>
      </c>
      <c r="AP4" s="28" t="s">
        <v>66</v>
      </c>
      <c r="AQ4" s="29" t="s">
        <v>85</v>
      </c>
      <c r="AR4" t="s">
        <v>115</v>
      </c>
      <c r="AS4" t="s">
        <v>87</v>
      </c>
      <c r="AT4" s="30">
        <v>35591</v>
      </c>
      <c r="AU4" t="s">
        <v>66</v>
      </c>
      <c r="AV4" t="s">
        <v>67</v>
      </c>
      <c r="AW4" s="30" t="s">
        <v>67</v>
      </c>
      <c r="AX4" s="30" t="s">
        <v>88</v>
      </c>
      <c r="AY4" s="30" t="s">
        <v>89</v>
      </c>
      <c r="AZ4" s="30" t="s">
        <v>90</v>
      </c>
      <c r="BA4" s="30" t="s">
        <v>66</v>
      </c>
      <c r="BB4" s="15" t="s">
        <v>91</v>
      </c>
      <c r="BC4" s="29" t="s">
        <v>92</v>
      </c>
      <c r="BD4" s="29" t="s">
        <v>93</v>
      </c>
      <c r="BE4" s="29" t="s">
        <v>94</v>
      </c>
      <c r="BF4" s="29" t="s">
        <v>95</v>
      </c>
      <c r="BG4" s="18" t="s">
        <v>108</v>
      </c>
    </row>
    <row r="5" ht="14.5" customHeight="1" spans="1:59" x14ac:dyDescent="0.25">
      <c r="A5" t="s">
        <v>116</v>
      </c>
      <c r="B5" t="s">
        <v>117</v>
      </c>
      <c r="C5" s="35" t="s">
        <v>58</v>
      </c>
      <c r="D5" s="14" t="s">
        <v>98</v>
      </c>
      <c r="E5" s="15" t="s">
        <v>60</v>
      </c>
      <c r="F5" s="16" t="s">
        <v>99</v>
      </c>
      <c r="G5" t="s">
        <v>118</v>
      </c>
      <c r="H5" t="s">
        <v>119</v>
      </c>
      <c r="I5" s="18">
        <v>861240232</v>
      </c>
      <c r="J5" s="18" t="s">
        <v>64</v>
      </c>
      <c r="K5" s="18" t="s">
        <v>65</v>
      </c>
      <c r="L5" s="19">
        <f t="shared" si="0"/>
        <v>45724</v>
      </c>
      <c r="M5" s="15" t="s">
        <v>66</v>
      </c>
      <c r="N5" s="20" t="s">
        <v>67</v>
      </c>
      <c r="O5" s="20" t="s">
        <v>68</v>
      </c>
      <c r="P5" s="18">
        <v>38</v>
      </c>
      <c r="Q5" s="18" t="s">
        <v>67</v>
      </c>
      <c r="R5" s="18" t="s">
        <v>69</v>
      </c>
      <c r="S5" s="18" t="s">
        <v>67</v>
      </c>
      <c r="T5" s="18" t="s">
        <v>65</v>
      </c>
      <c r="U5" s="21" t="s">
        <v>70</v>
      </c>
      <c r="V5" s="22" t="s">
        <v>71</v>
      </c>
      <c r="W5" s="18" t="s">
        <v>65</v>
      </c>
      <c r="X5" s="23">
        <f t="shared" si="1"/>
        <v>45724</v>
      </c>
      <c r="Y5" s="19">
        <f t="shared" si="2"/>
        <v>45814</v>
      </c>
      <c r="Z5" s="18" t="s">
        <v>72</v>
      </c>
      <c r="AA5" s="24" t="s">
        <v>120</v>
      </c>
      <c r="AB5" s="25" t="s">
        <v>103</v>
      </c>
      <c r="AC5" s="26" t="s">
        <v>121</v>
      </c>
      <c r="AD5" s="25" t="s">
        <v>122</v>
      </c>
      <c r="AE5" s="15" t="s">
        <v>77</v>
      </c>
      <c r="AF5" s="15" t="s">
        <v>50</v>
      </c>
      <c r="AG5" s="27">
        <v>25</v>
      </c>
      <c r="AH5" s="15" t="s">
        <v>79</v>
      </c>
      <c r="AI5" t="s">
        <v>80</v>
      </c>
      <c r="AJ5" s="23">
        <f>X5+365</f>
        <v>46089</v>
      </c>
      <c r="AK5" s="18" t="s">
        <v>82</v>
      </c>
      <c r="AL5" s="18" t="s">
        <v>105</v>
      </c>
      <c r="AM5" s="33" t="s">
        <v>123</v>
      </c>
      <c r="AN5" s="28" t="s">
        <v>124</v>
      </c>
      <c r="AO5" s="28" t="s">
        <v>81</v>
      </c>
      <c r="AP5" s="28" t="s">
        <v>66</v>
      </c>
      <c r="AQ5" s="29" t="s">
        <v>85</v>
      </c>
      <c r="AR5" t="s">
        <v>125</v>
      </c>
      <c r="AS5" t="s">
        <v>107</v>
      </c>
      <c r="AT5" s="30">
        <v>35591</v>
      </c>
      <c r="AU5" t="s">
        <v>66</v>
      </c>
      <c r="AV5" t="s">
        <v>67</v>
      </c>
      <c r="AW5" s="30" t="s">
        <v>67</v>
      </c>
      <c r="AX5" s="30" t="s">
        <v>88</v>
      </c>
      <c r="AY5" s="30" t="s">
        <v>89</v>
      </c>
      <c r="AZ5" s="30" t="s">
        <v>90</v>
      </c>
      <c r="BA5" s="30" t="s">
        <v>66</v>
      </c>
      <c r="BB5" s="15" t="s">
        <v>91</v>
      </c>
      <c r="BC5" s="29" t="s">
        <v>92</v>
      </c>
      <c r="BD5" s="29" t="s">
        <v>93</v>
      </c>
      <c r="BE5" s="29" t="s">
        <v>94</v>
      </c>
      <c r="BF5" s="29" t="s">
        <v>95</v>
      </c>
      <c r="BG5" s="18" t="s">
        <v>96</v>
      </c>
    </row>
    <row r="6" ht="14.5" customHeight="1" spans="1:59" x14ac:dyDescent="0.25">
      <c r="A6" t="s">
        <v>126</v>
      </c>
      <c r="B6" t="s">
        <v>127</v>
      </c>
      <c r="C6" s="35" t="s">
        <v>58</v>
      </c>
      <c r="D6" s="14" t="s">
        <v>98</v>
      </c>
      <c r="E6" s="15" t="s">
        <v>60</v>
      </c>
      <c r="F6" s="16" t="s">
        <v>61</v>
      </c>
      <c r="G6" t="s">
        <v>128</v>
      </c>
      <c r="H6" t="s">
        <v>129</v>
      </c>
      <c r="I6" s="18">
        <v>861240232</v>
      </c>
      <c r="J6" s="18" t="s">
        <v>64</v>
      </c>
      <c r="K6" s="18" t="s">
        <v>65</v>
      </c>
      <c r="L6" s="19">
        <f t="shared" si="0"/>
        <v>45724</v>
      </c>
      <c r="M6" s="15" t="s">
        <v>66</v>
      </c>
      <c r="N6" s="20" t="s">
        <v>67</v>
      </c>
      <c r="O6" s="20" t="s">
        <v>68</v>
      </c>
      <c r="P6" s="18">
        <v>38</v>
      </c>
      <c r="Q6" s="18" t="s">
        <v>67</v>
      </c>
      <c r="R6" s="18" t="s">
        <v>69</v>
      </c>
      <c r="S6" s="18" t="s">
        <v>67</v>
      </c>
      <c r="T6" s="18" t="s">
        <v>65</v>
      </c>
      <c r="U6" s="21" t="s">
        <v>70</v>
      </c>
      <c r="V6" s="22" t="s">
        <v>71</v>
      </c>
      <c r="W6" s="18" t="s">
        <v>65</v>
      </c>
      <c r="X6" s="23">
        <f t="shared" si="1"/>
        <v>45724</v>
      </c>
      <c r="Y6" s="19">
        <f t="shared" si="2"/>
        <v>45814</v>
      </c>
      <c r="Z6" s="18" t="s">
        <v>72</v>
      </c>
      <c r="AA6" s="24" t="s">
        <v>130</v>
      </c>
      <c r="AB6" s="25" t="s">
        <v>74</v>
      </c>
      <c r="AC6" s="26" t="s">
        <v>131</v>
      </c>
      <c r="AD6" s="25" t="s">
        <v>76</v>
      </c>
      <c r="AE6" s="15" t="s">
        <v>77</v>
      </c>
      <c r="AF6" s="15" t="s">
        <v>50</v>
      </c>
      <c r="AG6" s="27">
        <v>37.5</v>
      </c>
      <c r="AH6" s="15" t="s">
        <v>79</v>
      </c>
      <c r="AI6" t="s">
        <v>80</v>
      </c>
      <c r="AJ6" s="23" t="s">
        <v>81</v>
      </c>
      <c r="AK6" s="18" t="s">
        <v>82</v>
      </c>
      <c r="AL6" s="18" t="s">
        <v>105</v>
      </c>
      <c r="AM6" s="33">
        <v>251</v>
      </c>
      <c r="AN6" s="28" t="s">
        <v>132</v>
      </c>
      <c r="AO6" s="28" t="s">
        <v>133</v>
      </c>
      <c r="AP6" s="28" t="s">
        <v>66</v>
      </c>
      <c r="AQ6" s="29" t="s">
        <v>85</v>
      </c>
      <c r="AR6" t="s">
        <v>134</v>
      </c>
      <c r="AS6" t="s">
        <v>87</v>
      </c>
      <c r="AT6" s="30">
        <v>35591</v>
      </c>
      <c r="AU6" t="s">
        <v>66</v>
      </c>
      <c r="AV6" t="s">
        <v>67</v>
      </c>
      <c r="AW6" s="30" t="s">
        <v>67</v>
      </c>
      <c r="AX6" s="30" t="s">
        <v>88</v>
      </c>
      <c r="AY6" s="30" t="s">
        <v>89</v>
      </c>
      <c r="AZ6" s="30" t="s">
        <v>90</v>
      </c>
      <c r="BA6" s="30" t="s">
        <v>66</v>
      </c>
      <c r="BB6" s="15" t="s">
        <v>91</v>
      </c>
      <c r="BC6" s="29" t="s">
        <v>92</v>
      </c>
      <c r="BD6" s="29" t="s">
        <v>93</v>
      </c>
      <c r="BE6" s="29" t="s">
        <v>94</v>
      </c>
      <c r="BF6" s="29" t="s">
        <v>95</v>
      </c>
      <c r="BG6" s="18" t="s">
        <v>108</v>
      </c>
    </row>
    <row r="7" ht="14.5" customHeight="1" spans="1:59" x14ac:dyDescent="0.25">
      <c r="A7" t="s">
        <v>135</v>
      </c>
      <c r="B7" s="33">
        <v>10698390</v>
      </c>
      <c r="C7" s="35" t="s">
        <v>58</v>
      </c>
      <c r="D7" s="14" t="s">
        <v>98</v>
      </c>
      <c r="E7" s="15" t="s">
        <v>60</v>
      </c>
      <c r="F7" s="16" t="s">
        <v>99</v>
      </c>
      <c r="G7" t="s">
        <v>136</v>
      </c>
      <c r="H7" t="s">
        <v>137</v>
      </c>
      <c r="I7" s="18">
        <v>861240232</v>
      </c>
      <c r="J7" s="18" t="s">
        <v>64</v>
      </c>
      <c r="K7" s="18" t="s">
        <v>65</v>
      </c>
      <c r="L7" s="19">
        <f t="shared" si="0"/>
        <v>45724</v>
      </c>
      <c r="M7" s="15" t="s">
        <v>66</v>
      </c>
      <c r="N7" s="20" t="s">
        <v>67</v>
      </c>
      <c r="O7" s="20" t="s">
        <v>68</v>
      </c>
      <c r="P7" s="18">
        <v>38</v>
      </c>
      <c r="Q7" s="18" t="s">
        <v>67</v>
      </c>
      <c r="R7" s="18" t="s">
        <v>69</v>
      </c>
      <c r="S7" s="18" t="s">
        <v>67</v>
      </c>
      <c r="T7" s="18" t="s">
        <v>65</v>
      </c>
      <c r="U7" s="21" t="s">
        <v>70</v>
      </c>
      <c r="V7" s="22" t="s">
        <v>71</v>
      </c>
      <c r="W7" s="18" t="s">
        <v>65</v>
      </c>
      <c r="X7" s="23">
        <f t="shared" si="1"/>
        <v>45724</v>
      </c>
      <c r="Y7" s="19">
        <f t="shared" si="2"/>
        <v>45814</v>
      </c>
      <c r="Z7" s="18" t="s">
        <v>72</v>
      </c>
      <c r="AA7" s="24" t="s">
        <v>138</v>
      </c>
      <c r="AB7" s="25" t="s">
        <v>139</v>
      </c>
      <c r="AC7" s="26" t="s">
        <v>140</v>
      </c>
      <c r="AD7" s="25" t="s">
        <v>76</v>
      </c>
      <c r="AE7" s="15" t="s">
        <v>77</v>
      </c>
      <c r="AF7" s="15" t="s">
        <v>50</v>
      </c>
      <c r="AG7" s="27">
        <v>37.5</v>
      </c>
      <c r="AH7" s="15" t="s">
        <v>79</v>
      </c>
      <c r="AI7" t="s">
        <v>80</v>
      </c>
      <c r="AJ7" s="23" t="s">
        <v>81</v>
      </c>
      <c r="AK7" s="18" t="s">
        <v>82</v>
      </c>
      <c r="AL7" s="18" t="s">
        <v>105</v>
      </c>
      <c r="AM7" s="33">
        <v>251</v>
      </c>
      <c r="AN7" s="28" t="s">
        <v>81</v>
      </c>
      <c r="AO7" s="28" t="s">
        <v>81</v>
      </c>
      <c r="AP7" s="28" t="s">
        <v>66</v>
      </c>
      <c r="AQ7" s="29" t="s">
        <v>85</v>
      </c>
      <c r="AR7" t="s">
        <v>141</v>
      </c>
      <c r="AS7" t="s">
        <v>107</v>
      </c>
      <c r="AT7" s="30">
        <v>35591</v>
      </c>
      <c r="AU7" t="s">
        <v>66</v>
      </c>
      <c r="AV7" t="s">
        <v>67</v>
      </c>
      <c r="AW7" s="30" t="s">
        <v>67</v>
      </c>
      <c r="AX7" s="30" t="s">
        <v>88</v>
      </c>
      <c r="AY7" s="30" t="s">
        <v>89</v>
      </c>
      <c r="AZ7" s="30" t="s">
        <v>90</v>
      </c>
      <c r="BA7" s="30" t="s">
        <v>66</v>
      </c>
      <c r="BB7" s="15" t="s">
        <v>91</v>
      </c>
      <c r="BC7" s="29" t="s">
        <v>92</v>
      </c>
      <c r="BD7" s="29" t="s">
        <v>93</v>
      </c>
      <c r="BE7" s="29" t="s">
        <v>94</v>
      </c>
      <c r="BF7" s="29" t="s">
        <v>95</v>
      </c>
      <c r="BG7" s="18" t="s">
        <v>108</v>
      </c>
    </row>
    <row r="8" ht="14.5" customHeight="1" spans="1:59" x14ac:dyDescent="0.25">
      <c r="A8" t="s">
        <v>142</v>
      </c>
      <c r="B8" t="s">
        <v>143</v>
      </c>
      <c r="C8" s="36" t="s">
        <v>144</v>
      </c>
      <c r="D8" s="14" t="s">
        <v>98</v>
      </c>
      <c r="E8" s="15" t="s">
        <v>60</v>
      </c>
      <c r="F8" s="16" t="s">
        <v>61</v>
      </c>
      <c r="G8" t="s">
        <v>145</v>
      </c>
      <c r="H8" t="s">
        <v>146</v>
      </c>
      <c r="I8" s="18">
        <v>861240232</v>
      </c>
      <c r="J8" s="18" t="s">
        <v>64</v>
      </c>
      <c r="K8" s="18" t="s">
        <v>65</v>
      </c>
      <c r="L8" s="19">
        <f t="shared" si="0"/>
        <v>45724</v>
      </c>
      <c r="M8" s="15" t="s">
        <v>66</v>
      </c>
      <c r="N8" s="20" t="s">
        <v>67</v>
      </c>
      <c r="O8" s="20" t="s">
        <v>68</v>
      </c>
      <c r="P8" s="18">
        <v>38</v>
      </c>
      <c r="Q8" s="18" t="s">
        <v>67</v>
      </c>
      <c r="R8" s="18" t="s">
        <v>69</v>
      </c>
      <c r="S8" s="18" t="s">
        <v>67</v>
      </c>
      <c r="T8" s="18" t="s">
        <v>65</v>
      </c>
      <c r="U8" s="21" t="s">
        <v>70</v>
      </c>
      <c r="V8" s="22" t="s">
        <v>71</v>
      </c>
      <c r="W8" s="18" t="s">
        <v>65</v>
      </c>
      <c r="X8" s="23">
        <f t="shared" si="1"/>
        <v>45724</v>
      </c>
      <c r="Y8" s="19">
        <f t="shared" si="2"/>
        <v>45814</v>
      </c>
      <c r="Z8" s="18" t="s">
        <v>72</v>
      </c>
      <c r="AA8" s="24" t="s">
        <v>147</v>
      </c>
      <c r="AB8" s="25" t="s">
        <v>74</v>
      </c>
      <c r="AC8" s="26" t="s">
        <v>148</v>
      </c>
      <c r="AD8" s="25" t="s">
        <v>76</v>
      </c>
      <c r="AE8" s="15" t="s">
        <v>77</v>
      </c>
      <c r="AF8" s="15" t="s">
        <v>50</v>
      </c>
      <c r="AG8" s="27">
        <v>37.5</v>
      </c>
      <c r="AH8" s="15" t="s">
        <v>79</v>
      </c>
      <c r="AI8" t="s">
        <v>80</v>
      </c>
      <c r="AJ8" s="23" t="s">
        <v>81</v>
      </c>
      <c r="AK8" s="18" t="s">
        <v>82</v>
      </c>
      <c r="AL8" s="18" t="s">
        <v>105</v>
      </c>
      <c r="AM8" s="33">
        <v>251</v>
      </c>
      <c r="AN8" s="28" t="s">
        <v>81</v>
      </c>
      <c r="AO8" s="28" t="s">
        <v>81</v>
      </c>
      <c r="AP8" s="28" t="s">
        <v>66</v>
      </c>
      <c r="AQ8" s="29" t="s">
        <v>85</v>
      </c>
      <c r="AR8" t="s">
        <v>149</v>
      </c>
      <c r="AS8" t="s">
        <v>87</v>
      </c>
      <c r="AT8" s="30">
        <v>35591</v>
      </c>
      <c r="AU8" t="s">
        <v>66</v>
      </c>
      <c r="AV8" t="s">
        <v>67</v>
      </c>
      <c r="AW8" s="30" t="s">
        <v>67</v>
      </c>
      <c r="AX8" s="30" t="s">
        <v>88</v>
      </c>
      <c r="AY8" s="30" t="s">
        <v>89</v>
      </c>
      <c r="AZ8" s="30" t="s">
        <v>90</v>
      </c>
      <c r="BA8" s="30" t="s">
        <v>66</v>
      </c>
      <c r="BB8" s="15" t="s">
        <v>91</v>
      </c>
      <c r="BC8" s="29" t="s">
        <v>92</v>
      </c>
      <c r="BD8" s="29" t="s">
        <v>93</v>
      </c>
      <c r="BE8" s="29" t="s">
        <v>94</v>
      </c>
      <c r="BF8" s="29" t="s">
        <v>95</v>
      </c>
      <c r="BG8" s="18" t="s">
        <v>108</v>
      </c>
    </row>
    <row r="9" ht="14.5" customHeight="1" spans="1:91" x14ac:dyDescent="0.25">
      <c r="A9" t="s">
        <v>150</v>
      </c>
      <c r="B9" s="34" t="s">
        <v>151</v>
      </c>
      <c r="C9" s="36" t="s">
        <v>144</v>
      </c>
      <c r="D9" s="14" t="s">
        <v>59</v>
      </c>
      <c r="E9" s="15" t="s">
        <v>60</v>
      </c>
      <c r="F9" s="16" t="s">
        <v>99</v>
      </c>
      <c r="G9" t="s">
        <v>152</v>
      </c>
      <c r="H9" t="s">
        <v>153</v>
      </c>
      <c r="I9" s="18">
        <v>861240232</v>
      </c>
      <c r="J9" s="18" t="s">
        <v>64</v>
      </c>
      <c r="K9" s="18" t="s">
        <v>65</v>
      </c>
      <c r="L9" s="19">
        <f t="shared" si="0"/>
        <v>45724</v>
      </c>
      <c r="M9" s="15" t="s">
        <v>66</v>
      </c>
      <c r="N9" s="20" t="s">
        <v>67</v>
      </c>
      <c r="O9" s="20" t="s">
        <v>68</v>
      </c>
      <c r="P9" s="18">
        <v>38</v>
      </c>
      <c r="Q9" s="18" t="s">
        <v>67</v>
      </c>
      <c r="R9" s="18" t="s">
        <v>69</v>
      </c>
      <c r="S9" s="18" t="s">
        <v>67</v>
      </c>
      <c r="T9" s="18" t="s">
        <v>65</v>
      </c>
      <c r="U9" s="21" t="s">
        <v>70</v>
      </c>
      <c r="V9" s="22" t="s">
        <v>71</v>
      </c>
      <c r="W9" s="18" t="s">
        <v>65</v>
      </c>
      <c r="X9" s="23">
        <f t="shared" si="1"/>
        <v>45724</v>
      </c>
      <c r="Y9" s="19">
        <f t="shared" si="2"/>
        <v>45814</v>
      </c>
      <c r="Z9" s="18" t="s">
        <v>72</v>
      </c>
      <c r="AA9" s="24" t="s">
        <v>73</v>
      </c>
      <c r="AB9" s="25" t="s">
        <v>103</v>
      </c>
      <c r="AC9" s="26" t="s">
        <v>154</v>
      </c>
      <c r="AD9" s="25" t="s">
        <v>122</v>
      </c>
      <c r="AE9" s="15" t="s">
        <v>77</v>
      </c>
      <c r="AF9" s="15" t="s">
        <v>78</v>
      </c>
      <c r="AG9" s="27">
        <v>20</v>
      </c>
      <c r="AH9" s="15" t="s">
        <v>79</v>
      </c>
      <c r="AI9" t="s">
        <v>80</v>
      </c>
      <c r="AJ9" s="23">
        <f>X9+365</f>
        <v>46089</v>
      </c>
      <c r="AK9" s="18" t="s">
        <v>82</v>
      </c>
      <c r="AL9" s="18" t="s">
        <v>83</v>
      </c>
      <c r="AM9" t="s">
        <v>84</v>
      </c>
      <c r="AN9" s="28" t="s">
        <v>81</v>
      </c>
      <c r="AO9" s="28" t="s">
        <v>81</v>
      </c>
      <c r="AP9" s="28" t="s">
        <v>66</v>
      </c>
      <c r="AQ9" s="29" t="s">
        <v>85</v>
      </c>
      <c r="AR9" t="s">
        <v>155</v>
      </c>
      <c r="AS9" t="s">
        <v>107</v>
      </c>
      <c r="AT9" s="30">
        <v>35591</v>
      </c>
      <c r="AU9" t="s">
        <v>66</v>
      </c>
      <c r="AV9" t="s">
        <v>67</v>
      </c>
      <c r="AW9" s="30" t="s">
        <v>67</v>
      </c>
      <c r="AX9" s="30" t="s">
        <v>88</v>
      </c>
      <c r="AY9" s="30" t="s">
        <v>89</v>
      </c>
      <c r="AZ9" s="30" t="s">
        <v>90</v>
      </c>
      <c r="BA9" s="30" t="s">
        <v>66</v>
      </c>
      <c r="BB9" s="15" t="s">
        <v>91</v>
      </c>
      <c r="BC9" s="29" t="s">
        <v>92</v>
      </c>
      <c r="BD9" s="29" t="s">
        <v>93</v>
      </c>
      <c r="BE9" s="29" t="s">
        <v>94</v>
      </c>
      <c r="BF9" s="29" t="s">
        <v>95</v>
      </c>
      <c r="BG9" s="18" t="s">
        <v>96</v>
      </c>
      <c r="CM9" s="37"/>
    </row>
    <row r="10" ht="14.5" customHeight="1" spans="1:91" x14ac:dyDescent="0.25">
      <c r="A10" t="s">
        <v>156</v>
      </c>
      <c r="D10" s="14" t="s">
        <v>98</v>
      </c>
      <c r="E10" s="15" t="s">
        <v>60</v>
      </c>
      <c r="F10" s="16" t="s">
        <v>61</v>
      </c>
      <c r="I10" s="18">
        <v>861240232</v>
      </c>
      <c r="J10" s="18" t="s">
        <v>64</v>
      </c>
      <c r="K10" s="18" t="s">
        <v>65</v>
      </c>
      <c r="L10" s="19">
        <f t="shared" si="0"/>
        <v>45724</v>
      </c>
      <c r="M10" s="15" t="s">
        <v>66</v>
      </c>
      <c r="N10" s="20" t="s">
        <v>67</v>
      </c>
      <c r="O10" s="20" t="s">
        <v>68</v>
      </c>
      <c r="P10" s="18">
        <v>38</v>
      </c>
      <c r="Q10" s="18" t="s">
        <v>67</v>
      </c>
      <c r="R10" s="18" t="s">
        <v>69</v>
      </c>
      <c r="S10" s="18" t="s">
        <v>67</v>
      </c>
      <c r="T10" s="18" t="s">
        <v>65</v>
      </c>
      <c r="U10" s="21" t="s">
        <v>70</v>
      </c>
      <c r="V10" s="22" t="s">
        <v>71</v>
      </c>
      <c r="W10" s="18" t="s">
        <v>65</v>
      </c>
      <c r="X10" s="23">
        <f t="shared" si="1"/>
        <v>45724</v>
      </c>
      <c r="Y10" s="19">
        <f t="shared" si="2"/>
        <v>45814</v>
      </c>
      <c r="Z10" s="18" t="s">
        <v>72</v>
      </c>
      <c r="AA10" s="24" t="s">
        <v>157</v>
      </c>
      <c r="AB10" s="25" t="s">
        <v>74</v>
      </c>
      <c r="AC10" s="26" t="s">
        <v>158</v>
      </c>
      <c r="AD10" s="25" t="s">
        <v>122</v>
      </c>
      <c r="AE10" s="15" t="s">
        <v>77</v>
      </c>
      <c r="AF10" s="15" t="s">
        <v>50</v>
      </c>
      <c r="AG10" s="27">
        <v>21</v>
      </c>
      <c r="AH10" s="15" t="s">
        <v>79</v>
      </c>
      <c r="AI10" t="s">
        <v>80</v>
      </c>
      <c r="AJ10" s="23" t="s">
        <v>81</v>
      </c>
      <c r="AK10" s="18" t="s">
        <v>82</v>
      </c>
      <c r="AL10" s="18" t="s">
        <v>105</v>
      </c>
      <c r="AM10" s="33">
        <v>251</v>
      </c>
      <c r="AN10" s="28" t="s">
        <v>159</v>
      </c>
      <c r="AO10" s="28" t="s">
        <v>81</v>
      </c>
      <c r="AP10" s="28" t="s">
        <v>66</v>
      </c>
      <c r="AQ10" s="29" t="s">
        <v>85</v>
      </c>
      <c r="AR10" t="s">
        <v>160</v>
      </c>
      <c r="AS10" t="s">
        <v>87</v>
      </c>
      <c r="AT10" s="30">
        <v>35591</v>
      </c>
      <c r="AU10" t="s">
        <v>66</v>
      </c>
      <c r="AV10" t="s">
        <v>67</v>
      </c>
      <c r="AW10" s="30" t="s">
        <v>67</v>
      </c>
      <c r="AX10" s="30" t="s">
        <v>88</v>
      </c>
      <c r="AY10" s="30" t="s">
        <v>89</v>
      </c>
      <c r="AZ10" s="30" t="s">
        <v>90</v>
      </c>
      <c r="BA10" s="30" t="s">
        <v>66</v>
      </c>
      <c r="BB10" s="15" t="s">
        <v>91</v>
      </c>
      <c r="BC10" s="29" t="s">
        <v>92</v>
      </c>
      <c r="BD10" s="29" t="s">
        <v>93</v>
      </c>
      <c r="BE10" s="29" t="s">
        <v>94</v>
      </c>
      <c r="BF10" s="29" t="s">
        <v>95</v>
      </c>
      <c r="BG10" s="18" t="s">
        <v>108</v>
      </c>
      <c r="CM10" s="37"/>
    </row>
    <row r="11" ht="14.5" customHeight="1" spans="1:59" x14ac:dyDescent="0.25">
      <c r="A11" t="s">
        <v>161</v>
      </c>
      <c r="D11" s="14" t="s">
        <v>59</v>
      </c>
      <c r="E11" s="15" t="s">
        <v>60</v>
      </c>
      <c r="F11" s="16" t="s">
        <v>99</v>
      </c>
      <c r="I11" s="18">
        <v>861240232</v>
      </c>
      <c r="J11" s="18" t="s">
        <v>64</v>
      </c>
      <c r="K11" s="18" t="s">
        <v>65</v>
      </c>
      <c r="L11" s="19">
        <f t="shared" si="0"/>
        <v>45724</v>
      </c>
      <c r="M11" s="15" t="s">
        <v>66</v>
      </c>
      <c r="N11" s="20" t="s">
        <v>67</v>
      </c>
      <c r="O11" s="20" t="s">
        <v>68</v>
      </c>
      <c r="P11" s="18">
        <v>38</v>
      </c>
      <c r="Q11" s="18" t="s">
        <v>67</v>
      </c>
      <c r="R11" s="18" t="s">
        <v>69</v>
      </c>
      <c r="S11" s="18" t="s">
        <v>67</v>
      </c>
      <c r="T11" s="18" t="s">
        <v>65</v>
      </c>
      <c r="U11" s="21" t="s">
        <v>70</v>
      </c>
      <c r="V11" s="22" t="s">
        <v>71</v>
      </c>
      <c r="W11" s="18" t="s">
        <v>65</v>
      </c>
      <c r="X11" s="23">
        <f t="shared" si="1"/>
        <v>45724</v>
      </c>
      <c r="Y11" s="19">
        <f t="shared" si="2"/>
        <v>45814</v>
      </c>
      <c r="Z11" s="18" t="s">
        <v>72</v>
      </c>
      <c r="AA11" s="24" t="s">
        <v>73</v>
      </c>
      <c r="AB11" s="25" t="s">
        <v>103</v>
      </c>
      <c r="AC11" s="26" t="s">
        <v>75</v>
      </c>
      <c r="AD11" s="25" t="s">
        <v>122</v>
      </c>
      <c r="AE11" s="15" t="s">
        <v>77</v>
      </c>
      <c r="AF11" s="15" t="s">
        <v>78</v>
      </c>
      <c r="AG11" s="27">
        <v>11.5</v>
      </c>
      <c r="AH11" s="15" t="s">
        <v>79</v>
      </c>
      <c r="AI11" t="s">
        <v>80</v>
      </c>
      <c r="AJ11" s="23">
        <f>X11+365</f>
        <v>46089</v>
      </c>
      <c r="AK11" s="18" t="s">
        <v>82</v>
      </c>
      <c r="AL11" s="18" t="s">
        <v>83</v>
      </c>
      <c r="AM11" t="s">
        <v>162</v>
      </c>
      <c r="AN11" s="28" t="s">
        <v>81</v>
      </c>
      <c r="AO11" s="28" t="s">
        <v>81</v>
      </c>
      <c r="AP11" s="28" t="s">
        <v>66</v>
      </c>
      <c r="AQ11" s="29" t="s">
        <v>85</v>
      </c>
      <c r="AR11" t="s">
        <v>163</v>
      </c>
      <c r="AS11" t="s">
        <v>107</v>
      </c>
      <c r="AT11" s="30">
        <v>35591</v>
      </c>
      <c r="AU11" t="s">
        <v>66</v>
      </c>
      <c r="AV11" t="s">
        <v>67</v>
      </c>
      <c r="AW11" s="30" t="s">
        <v>67</v>
      </c>
      <c r="AX11" s="30" t="s">
        <v>88</v>
      </c>
      <c r="AY11" s="30" t="s">
        <v>89</v>
      </c>
      <c r="AZ11" s="30" t="s">
        <v>90</v>
      </c>
      <c r="BA11" s="30" t="s">
        <v>66</v>
      </c>
      <c r="BB11" s="15" t="s">
        <v>91</v>
      </c>
      <c r="BC11" s="29" t="s">
        <v>92</v>
      </c>
      <c r="BD11" s="29" t="s">
        <v>93</v>
      </c>
      <c r="BE11" s="29" t="s">
        <v>94</v>
      </c>
      <c r="BF11" s="29" t="s">
        <v>95</v>
      </c>
      <c r="BG11" s="18" t="s">
        <v>96</v>
      </c>
    </row>
    <row r="12" ht="14.5" customHeight="1" spans="1:59" x14ac:dyDescent="0.25">
      <c r="A12" t="s">
        <v>164</v>
      </c>
      <c r="D12" s="14" t="s">
        <v>98</v>
      </c>
      <c r="E12" s="15" t="s">
        <v>60</v>
      </c>
      <c r="F12" s="16" t="s">
        <v>61</v>
      </c>
      <c r="I12" s="18">
        <v>861240232</v>
      </c>
      <c r="J12" s="18" t="s">
        <v>64</v>
      </c>
      <c r="K12" s="18" t="s">
        <v>65</v>
      </c>
      <c r="L12" s="19">
        <f t="shared" si="0"/>
        <v>45724</v>
      </c>
      <c r="M12" s="15" t="s">
        <v>66</v>
      </c>
      <c r="N12" s="20" t="s">
        <v>67</v>
      </c>
      <c r="O12" s="20" t="s">
        <v>68</v>
      </c>
      <c r="P12" s="18">
        <v>38</v>
      </c>
      <c r="Q12" s="18" t="s">
        <v>67</v>
      </c>
      <c r="R12" s="18" t="s">
        <v>69</v>
      </c>
      <c r="S12" s="18" t="s">
        <v>67</v>
      </c>
      <c r="T12" s="18" t="s">
        <v>65</v>
      </c>
      <c r="U12" s="21" t="s">
        <v>70</v>
      </c>
      <c r="V12" s="22" t="s">
        <v>71</v>
      </c>
      <c r="W12" s="18" t="s">
        <v>65</v>
      </c>
      <c r="X12" s="23">
        <f t="shared" si="1"/>
        <v>45724</v>
      </c>
      <c r="Y12" s="19">
        <f t="shared" si="2"/>
        <v>45814</v>
      </c>
      <c r="Z12" s="18" t="s">
        <v>72</v>
      </c>
      <c r="AA12" s="24" t="s">
        <v>165</v>
      </c>
      <c r="AB12" s="25" t="s">
        <v>74</v>
      </c>
      <c r="AC12" s="26" t="s">
        <v>104</v>
      </c>
      <c r="AD12" s="25" t="s">
        <v>122</v>
      </c>
      <c r="AE12" s="15" t="s">
        <v>77</v>
      </c>
      <c r="AF12" s="15" t="s">
        <v>50</v>
      </c>
      <c r="AG12" s="27">
        <v>25</v>
      </c>
      <c r="AH12" s="15" t="s">
        <v>79</v>
      </c>
      <c r="AI12" t="s">
        <v>80</v>
      </c>
      <c r="AJ12" s="23" t="s">
        <v>81</v>
      </c>
      <c r="AK12" s="18" t="s">
        <v>82</v>
      </c>
      <c r="AL12" s="18" t="s">
        <v>105</v>
      </c>
      <c r="AM12" s="33">
        <v>251</v>
      </c>
      <c r="AN12" s="28" t="s">
        <v>81</v>
      </c>
      <c r="AO12" s="28" t="s">
        <v>81</v>
      </c>
      <c r="AP12" s="28" t="s">
        <v>66</v>
      </c>
      <c r="AQ12" s="29" t="s">
        <v>85</v>
      </c>
      <c r="AR12" t="s">
        <v>166</v>
      </c>
      <c r="AS12" t="s">
        <v>87</v>
      </c>
      <c r="AT12" s="30">
        <v>35591</v>
      </c>
      <c r="AU12" t="s">
        <v>66</v>
      </c>
      <c r="AV12" t="s">
        <v>67</v>
      </c>
      <c r="AW12" s="30" t="s">
        <v>67</v>
      </c>
      <c r="AX12" s="30" t="s">
        <v>88</v>
      </c>
      <c r="AY12" s="30" t="s">
        <v>89</v>
      </c>
      <c r="AZ12" s="30" t="s">
        <v>90</v>
      </c>
      <c r="BA12" s="30" t="s">
        <v>66</v>
      </c>
      <c r="BB12" s="15" t="s">
        <v>91</v>
      </c>
      <c r="BC12" s="29" t="s">
        <v>92</v>
      </c>
      <c r="BD12" s="29" t="s">
        <v>93</v>
      </c>
      <c r="BE12" s="29" t="s">
        <v>94</v>
      </c>
      <c r="BF12" s="29" t="s">
        <v>95</v>
      </c>
      <c r="BG12" s="18" t="s">
        <v>108</v>
      </c>
    </row>
    <row r="13" ht="14.5" customHeight="1" spans="1:59" x14ac:dyDescent="0.25">
      <c r="A13" t="s">
        <v>167</v>
      </c>
      <c r="D13" s="14" t="s">
        <v>98</v>
      </c>
      <c r="E13" s="15" t="s">
        <v>60</v>
      </c>
      <c r="F13" s="16" t="s">
        <v>99</v>
      </c>
      <c r="I13" s="18">
        <v>861240232</v>
      </c>
      <c r="J13" s="18" t="s">
        <v>64</v>
      </c>
      <c r="K13" s="18" t="s">
        <v>65</v>
      </c>
      <c r="L13" s="19">
        <f t="shared" si="0"/>
        <v>45724</v>
      </c>
      <c r="M13" s="15" t="s">
        <v>66</v>
      </c>
      <c r="N13" s="20" t="s">
        <v>67</v>
      </c>
      <c r="O13" s="20" t="s">
        <v>68</v>
      </c>
      <c r="P13" s="18">
        <v>38</v>
      </c>
      <c r="Q13" s="18" t="s">
        <v>67</v>
      </c>
      <c r="R13" s="18" t="s">
        <v>69</v>
      </c>
      <c r="S13" s="18" t="s">
        <v>67</v>
      </c>
      <c r="T13" s="18" t="s">
        <v>65</v>
      </c>
      <c r="U13" s="21" t="s">
        <v>70</v>
      </c>
      <c r="V13" s="22" t="s">
        <v>71</v>
      </c>
      <c r="W13" s="18" t="s">
        <v>65</v>
      </c>
      <c r="X13" s="23">
        <f t="shared" si="1"/>
        <v>45724</v>
      </c>
      <c r="Y13" s="19">
        <f t="shared" si="2"/>
        <v>45814</v>
      </c>
      <c r="Z13" s="18" t="s">
        <v>72</v>
      </c>
      <c r="AA13" s="24" t="s">
        <v>168</v>
      </c>
      <c r="AB13" s="25" t="s">
        <v>103</v>
      </c>
      <c r="AC13" s="26" t="s">
        <v>114</v>
      </c>
      <c r="AD13" s="25" t="s">
        <v>122</v>
      </c>
      <c r="AE13" s="15" t="s">
        <v>77</v>
      </c>
      <c r="AF13" s="15" t="s">
        <v>50</v>
      </c>
      <c r="AG13" s="27">
        <v>21</v>
      </c>
      <c r="AH13" s="15" t="s">
        <v>79</v>
      </c>
      <c r="AI13" t="s">
        <v>80</v>
      </c>
      <c r="AJ13" s="23">
        <f>X13+365</f>
        <v>46089</v>
      </c>
      <c r="AK13" s="18" t="s">
        <v>82</v>
      </c>
      <c r="AL13" s="18" t="s">
        <v>105</v>
      </c>
      <c r="AM13" s="33">
        <v>251</v>
      </c>
      <c r="AN13" s="28" t="s">
        <v>81</v>
      </c>
      <c r="AO13" s="28" t="s">
        <v>81</v>
      </c>
      <c r="AP13" s="28" t="s">
        <v>66</v>
      </c>
      <c r="AQ13" s="29" t="s">
        <v>85</v>
      </c>
      <c r="AR13" t="s">
        <v>169</v>
      </c>
      <c r="AS13" t="s">
        <v>107</v>
      </c>
      <c r="AT13" s="30">
        <v>35591</v>
      </c>
      <c r="AU13" t="s">
        <v>66</v>
      </c>
      <c r="AV13" t="s">
        <v>67</v>
      </c>
      <c r="AW13" s="30" t="s">
        <v>67</v>
      </c>
      <c r="AX13" s="30" t="s">
        <v>88</v>
      </c>
      <c r="AY13" s="30" t="s">
        <v>89</v>
      </c>
      <c r="AZ13" s="30" t="s">
        <v>90</v>
      </c>
      <c r="BA13" s="30" t="s">
        <v>66</v>
      </c>
      <c r="BB13" s="15" t="s">
        <v>91</v>
      </c>
      <c r="BC13" s="29" t="s">
        <v>92</v>
      </c>
      <c r="BD13" s="29" t="s">
        <v>93</v>
      </c>
      <c r="BE13" s="29" t="s">
        <v>94</v>
      </c>
      <c r="BF13" s="29" t="s">
        <v>95</v>
      </c>
      <c r="BG13" s="18" t="s">
        <v>108</v>
      </c>
    </row>
    <row r="14" ht="14.5" customHeight="1" spans="1:59" x14ac:dyDescent="0.25">
      <c r="A14" t="s">
        <v>170</v>
      </c>
      <c r="D14" s="14" t="s">
        <v>59</v>
      </c>
      <c r="E14" s="15" t="s">
        <v>60</v>
      </c>
      <c r="F14" s="16" t="s">
        <v>61</v>
      </c>
      <c r="I14" s="18">
        <v>861240232</v>
      </c>
      <c r="J14" s="18" t="s">
        <v>64</v>
      </c>
      <c r="K14" s="18" t="s">
        <v>65</v>
      </c>
      <c r="L14" s="19">
        <f t="shared" si="0"/>
        <v>45724</v>
      </c>
      <c r="M14" s="15" t="s">
        <v>66</v>
      </c>
      <c r="N14" s="20" t="s">
        <v>67</v>
      </c>
      <c r="O14" s="20" t="s">
        <v>68</v>
      </c>
      <c r="P14" s="18">
        <v>38</v>
      </c>
      <c r="Q14" s="18" t="s">
        <v>67</v>
      </c>
      <c r="R14" s="18" t="s">
        <v>69</v>
      </c>
      <c r="S14" s="18" t="s">
        <v>67</v>
      </c>
      <c r="T14" s="18" t="s">
        <v>65</v>
      </c>
      <c r="U14" s="21" t="s">
        <v>70</v>
      </c>
      <c r="V14" s="22" t="s">
        <v>71</v>
      </c>
      <c r="W14" s="18" t="s">
        <v>65</v>
      </c>
      <c r="X14" s="23">
        <f t="shared" si="1"/>
        <v>45724</v>
      </c>
      <c r="Y14" s="19">
        <f t="shared" si="2"/>
        <v>45814</v>
      </c>
      <c r="Z14" s="18" t="s">
        <v>72</v>
      </c>
      <c r="AA14" s="24" t="s">
        <v>73</v>
      </c>
      <c r="AB14" s="25" t="s">
        <v>74</v>
      </c>
      <c r="AC14" s="26" t="s">
        <v>75</v>
      </c>
      <c r="AD14" s="25" t="s">
        <v>122</v>
      </c>
      <c r="AE14" s="15" t="s">
        <v>77</v>
      </c>
      <c r="AF14" s="15" t="s">
        <v>78</v>
      </c>
      <c r="AG14" s="27">
        <v>15</v>
      </c>
      <c r="AH14" s="15" t="s">
        <v>79</v>
      </c>
      <c r="AI14" t="s">
        <v>80</v>
      </c>
      <c r="AJ14" s="23" t="s">
        <v>81</v>
      </c>
      <c r="AK14" s="18" t="s">
        <v>82</v>
      </c>
      <c r="AL14" s="18" t="s">
        <v>83</v>
      </c>
      <c r="AM14" t="s">
        <v>171</v>
      </c>
      <c r="AN14" s="28" t="s">
        <v>81</v>
      </c>
      <c r="AO14" s="28" t="s">
        <v>81</v>
      </c>
      <c r="AP14" s="28" t="s">
        <v>66</v>
      </c>
      <c r="AQ14" s="29" t="s">
        <v>85</v>
      </c>
      <c r="AR14" t="s">
        <v>172</v>
      </c>
      <c r="AS14" t="s">
        <v>87</v>
      </c>
      <c r="AT14" s="30">
        <v>35591</v>
      </c>
      <c r="AU14" t="s">
        <v>66</v>
      </c>
      <c r="AV14" t="s">
        <v>67</v>
      </c>
      <c r="AW14" s="30" t="s">
        <v>67</v>
      </c>
      <c r="AX14" s="30" t="s">
        <v>88</v>
      </c>
      <c r="AY14" s="30" t="s">
        <v>89</v>
      </c>
      <c r="AZ14" s="30" t="s">
        <v>90</v>
      </c>
      <c r="BA14" s="30" t="s">
        <v>66</v>
      </c>
      <c r="BB14" s="15" t="s">
        <v>91</v>
      </c>
      <c r="BC14" s="29" t="s">
        <v>92</v>
      </c>
      <c r="BD14" s="29" t="s">
        <v>93</v>
      </c>
      <c r="BE14" s="29" t="s">
        <v>94</v>
      </c>
      <c r="BF14" s="29" t="s">
        <v>95</v>
      </c>
      <c r="BG14" s="18" t="s">
        <v>96</v>
      </c>
    </row>
    <row r="15" ht="14.5" customHeight="1" spans="1:59" x14ac:dyDescent="0.25">
      <c r="A15" t="s">
        <v>173</v>
      </c>
      <c r="D15" s="14" t="s">
        <v>59</v>
      </c>
      <c r="E15" s="15" t="s">
        <v>60</v>
      </c>
      <c r="F15" s="16" t="s">
        <v>99</v>
      </c>
      <c r="I15" s="18">
        <v>861240232</v>
      </c>
      <c r="J15" s="18" t="s">
        <v>64</v>
      </c>
      <c r="K15" s="18" t="s">
        <v>65</v>
      </c>
      <c r="L15" s="19">
        <f t="shared" si="0"/>
        <v>45724</v>
      </c>
      <c r="M15" s="15" t="s">
        <v>66</v>
      </c>
      <c r="N15" s="20" t="s">
        <v>67</v>
      </c>
      <c r="O15" s="20" t="s">
        <v>68</v>
      </c>
      <c r="P15" s="18">
        <v>38</v>
      </c>
      <c r="Q15" s="18" t="s">
        <v>67</v>
      </c>
      <c r="R15" s="18" t="s">
        <v>69</v>
      </c>
      <c r="S15" s="18" t="s">
        <v>67</v>
      </c>
      <c r="T15" s="18" t="s">
        <v>65</v>
      </c>
      <c r="U15" s="21" t="s">
        <v>70</v>
      </c>
      <c r="V15" s="22" t="s">
        <v>71</v>
      </c>
      <c r="W15" s="18" t="s">
        <v>65</v>
      </c>
      <c r="X15" s="23">
        <f t="shared" si="1"/>
        <v>45724</v>
      </c>
      <c r="Y15" s="19">
        <f t="shared" si="2"/>
        <v>45814</v>
      </c>
      <c r="Z15" s="18" t="s">
        <v>72</v>
      </c>
      <c r="AA15" s="24" t="s">
        <v>73</v>
      </c>
      <c r="AB15" s="25" t="s">
        <v>103</v>
      </c>
      <c r="AC15" s="26" t="s">
        <v>154</v>
      </c>
      <c r="AD15" s="25" t="s">
        <v>122</v>
      </c>
      <c r="AE15" s="15" t="s">
        <v>77</v>
      </c>
      <c r="AF15" s="15" t="s">
        <v>78</v>
      </c>
      <c r="AG15" s="27">
        <v>11.5</v>
      </c>
      <c r="AH15" s="15" t="s">
        <v>79</v>
      </c>
      <c r="AI15" t="s">
        <v>80</v>
      </c>
      <c r="AJ15" s="23">
        <f>X15+365</f>
        <v>46089</v>
      </c>
      <c r="AK15" s="18" t="s">
        <v>82</v>
      </c>
      <c r="AL15" s="18" t="s">
        <v>83</v>
      </c>
      <c r="AM15" t="s">
        <v>174</v>
      </c>
      <c r="AN15" s="28" t="s">
        <v>81</v>
      </c>
      <c r="AO15" s="28" t="s">
        <v>81</v>
      </c>
      <c r="AP15" s="28" t="s">
        <v>66</v>
      </c>
      <c r="AQ15" s="29" t="s">
        <v>85</v>
      </c>
      <c r="AR15" t="s">
        <v>175</v>
      </c>
      <c r="AS15" t="s">
        <v>107</v>
      </c>
      <c r="AT15" s="30">
        <v>35591</v>
      </c>
      <c r="AU15" t="s">
        <v>66</v>
      </c>
      <c r="AV15" t="s">
        <v>67</v>
      </c>
      <c r="AW15" s="30" t="s">
        <v>67</v>
      </c>
      <c r="AX15" s="30" t="s">
        <v>88</v>
      </c>
      <c r="AY15" s="30" t="s">
        <v>89</v>
      </c>
      <c r="AZ15" s="30" t="s">
        <v>90</v>
      </c>
      <c r="BA15" s="30" t="s">
        <v>66</v>
      </c>
      <c r="BB15" s="15" t="s">
        <v>91</v>
      </c>
      <c r="BC15" s="29" t="s">
        <v>92</v>
      </c>
      <c r="BD15" s="29" t="s">
        <v>93</v>
      </c>
      <c r="BE15" s="29" t="s">
        <v>94</v>
      </c>
      <c r="BF15" s="29" t="s">
        <v>95</v>
      </c>
      <c r="BG15" s="18" t="s">
        <v>96</v>
      </c>
    </row>
    <row r="16" ht="14.5" customHeight="1" spans="1:59" x14ac:dyDescent="0.25">
      <c r="A16" t="s">
        <v>176</v>
      </c>
      <c r="B16" s="12"/>
      <c r="C16" s="13"/>
      <c r="D16" s="14" t="s">
        <v>59</v>
      </c>
      <c r="E16" s="15" t="s">
        <v>60</v>
      </c>
      <c r="F16" s="16" t="s">
        <v>61</v>
      </c>
      <c r="I16" s="18">
        <v>861240232</v>
      </c>
      <c r="J16" s="18" t="s">
        <v>64</v>
      </c>
      <c r="K16" s="18" t="s">
        <v>65</v>
      </c>
      <c r="L16" s="19">
        <f t="shared" si="0"/>
        <v>45724</v>
      </c>
      <c r="M16" s="15" t="s">
        <v>66</v>
      </c>
      <c r="N16" s="20" t="s">
        <v>67</v>
      </c>
      <c r="O16" s="20" t="s">
        <v>68</v>
      </c>
      <c r="P16" s="18">
        <v>38</v>
      </c>
      <c r="Q16" s="18" t="s">
        <v>67</v>
      </c>
      <c r="R16" s="18" t="s">
        <v>69</v>
      </c>
      <c r="S16" s="18" t="s">
        <v>67</v>
      </c>
      <c r="T16" s="18" t="s">
        <v>65</v>
      </c>
      <c r="U16" s="21" t="s">
        <v>70</v>
      </c>
      <c r="V16" s="22" t="s">
        <v>71</v>
      </c>
      <c r="W16" s="18" t="s">
        <v>65</v>
      </c>
      <c r="X16" s="23">
        <f t="shared" si="1"/>
        <v>45724</v>
      </c>
      <c r="Y16" s="19">
        <f t="shared" si="2"/>
        <v>45814</v>
      </c>
      <c r="Z16" s="18" t="s">
        <v>72</v>
      </c>
      <c r="AA16" s="24" t="s">
        <v>73</v>
      </c>
      <c r="AB16" s="25" t="s">
        <v>139</v>
      </c>
      <c r="AC16" s="26" t="s">
        <v>177</v>
      </c>
      <c r="AD16" s="25" t="s">
        <v>122</v>
      </c>
      <c r="AE16" s="15" t="s">
        <v>77</v>
      </c>
      <c r="AF16" s="15" t="s">
        <v>78</v>
      </c>
      <c r="AG16" s="27">
        <v>21</v>
      </c>
      <c r="AH16" s="15" t="s">
        <v>79</v>
      </c>
      <c r="AI16" t="s">
        <v>80</v>
      </c>
      <c r="AJ16" s="23" t="s">
        <v>81</v>
      </c>
      <c r="AK16" s="18" t="s">
        <v>82</v>
      </c>
      <c r="AL16" s="18" t="s">
        <v>83</v>
      </c>
      <c r="AM16" t="s">
        <v>178</v>
      </c>
      <c r="AN16" s="28" t="s">
        <v>81</v>
      </c>
      <c r="AO16" s="28" t="s">
        <v>81</v>
      </c>
      <c r="AP16" s="28" t="s">
        <v>66</v>
      </c>
      <c r="AQ16" s="29" t="s">
        <v>85</v>
      </c>
      <c r="AR16" t="s">
        <v>179</v>
      </c>
      <c r="AS16" t="s">
        <v>87</v>
      </c>
      <c r="AT16" s="30">
        <v>35591</v>
      </c>
      <c r="AU16" t="s">
        <v>66</v>
      </c>
      <c r="AV16" t="s">
        <v>67</v>
      </c>
      <c r="AW16" s="30" t="s">
        <v>67</v>
      </c>
      <c r="AX16" s="30" t="s">
        <v>88</v>
      </c>
      <c r="AY16" s="30" t="s">
        <v>89</v>
      </c>
      <c r="AZ16" s="30" t="s">
        <v>90</v>
      </c>
      <c r="BA16" s="30" t="s">
        <v>66</v>
      </c>
      <c r="BB16" s="15" t="s">
        <v>91</v>
      </c>
      <c r="BC16" s="29" t="s">
        <v>92</v>
      </c>
      <c r="BD16" s="29" t="s">
        <v>93</v>
      </c>
      <c r="BE16" s="29" t="s">
        <v>94</v>
      </c>
      <c r="BF16" s="29" t="s">
        <v>95</v>
      </c>
      <c r="BG16" s="18" t="s">
        <v>96</v>
      </c>
    </row>
  </sheetData>
  <dataValidations count="12">
    <dataValidation type="list" allowBlank="1" showInputMessage="1" showErrorMessage="1" sqref="AX10:AX16">
      <formula1>INDIRECT($E2)</formula1>
    </dataValidation>
    <dataValidation type="list" allowBlank="1" showInputMessage="1" showErrorMessage="1" sqref="AX2:AX16">
      <formula1>INDIRECT($E2)</formula1>
    </dataValidation>
    <dataValidation type="list" allowBlank="1" showInputMessage="1" showErrorMessage="1" sqref="BF10:BF16">
      <formula1>INDIRECT($E2)</formula1>
    </dataValidation>
    <dataValidation type="list" allowBlank="1" showInputMessage="1" showErrorMessage="1" sqref="BF2:BF16">
      <formula1>INDIRECT($E2)</formula1>
    </dataValidation>
    <dataValidation type="list" allowBlank="1" showInputMessage="1" showErrorMessage="1" sqref="K10:K16">
      <formula1>INDIRECT($E2)</formula1>
    </dataValidation>
    <dataValidation type="list" allowBlank="1" showInputMessage="1" showErrorMessage="1" sqref="K2:K16">
      <formula1>INDIRECT($E2)</formula1>
    </dataValidation>
    <dataValidation type="list" allowBlank="1" showInputMessage="1" showErrorMessage="1" sqref="T10:T16">
      <formula1>INDIRECT($E2)</formula1>
    </dataValidation>
    <dataValidation type="list" allowBlank="1" showInputMessage="1" showErrorMessage="1" sqref="T2:T16">
      <formula1>INDIRECT($E2)</formula1>
    </dataValidation>
    <dataValidation type="list" allowBlank="1" showInputMessage="1" showErrorMessage="1" sqref="W10:W16">
      <formula1>INDIRECT($E2)</formula1>
    </dataValidation>
    <dataValidation type="list" allowBlank="1" showInputMessage="1" showErrorMessage="1" sqref="W2:W16">
      <formula1>INDIRECT($E2)</formula1>
    </dataValidation>
    <dataValidation type="list" allowBlank="1" showInputMessage="1" showErrorMessage="1" sqref="Z10:Z16">
      <formula1>INDIRECT($E2)</formula1>
    </dataValidation>
    <dataValidation type="list" allowBlank="1" showInputMessage="1" showErrorMessage="1" sqref="Z2:Z16">
      <formula1>INDIRECT($E2)</formula1>
    </dataValidation>
  </dataValidations>
  <hyperlinks>
    <hyperlink ref="V2" r:id="rId1"/>
    <hyperlink ref="V3" r:id="rId2"/>
    <hyperlink ref="V4" r:id="rId3"/>
    <hyperlink ref="V5" r:id="rId4"/>
    <hyperlink ref="V6" r:id="rId5"/>
    <hyperlink ref="V7" r:id="rId6"/>
    <hyperlink ref="V8" r:id="rId7"/>
    <hyperlink ref="V9" r:id="rId8"/>
    <hyperlink ref="V10" r:id="rId9"/>
    <hyperlink ref="V11" r:id="rId10"/>
    <hyperlink ref="V12" r:id="rId11"/>
    <hyperlink ref="V13" r:id="rId12"/>
    <hyperlink ref="V14" r:id="rId13"/>
    <hyperlink ref="V15" r:id="rId14"/>
    <hyperlink ref="V16" r:id="rId15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2025-04-08T08:00:14Z</dcterms:modified>
</cp:coreProperties>
</file>